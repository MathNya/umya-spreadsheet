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op\Rust\Projects\Luxottica\mbo_processor\excel\"/>
    </mc:Choice>
  </mc:AlternateContent>
  <xr:revisionPtr revIDLastSave="0" documentId="13_ncr:1_{BADE1DFA-E9DC-4E5A-9AF8-849A6E1EA2D2}" xr6:coauthVersionLast="47" xr6:coauthVersionMax="47" xr10:uidLastSave="{00000000-0000-0000-0000-000000000000}"/>
  <bookViews>
    <workbookView xWindow="-108" yWindow="-108" windowWidth="23256" windowHeight="12456" tabRatio="774" xr2:uid="{00000000-000D-0000-FFFF-FFFF00000000}"/>
  </bookViews>
  <sheets>
    <sheet name="Sheet1" sheetId="1" r:id="rId1"/>
  </sheets>
  <definedNames>
    <definedName name="_xlnm._FilterDatabase" localSheetId="0" hidden="1">Sheet1!$A$4:$DH$9</definedName>
    <definedName name="e">#REF!</definedName>
    <definedName name="_xlnm.Print_Area" localSheetId="0">Sheet1!$A$1:$CR$4</definedName>
    <definedName name="_xlnm.Print_Area">#REF!</definedName>
    <definedName name="_xlnm.Print_Titles" localSheetId="0">Sheet1!$1:$4</definedName>
    <definedName name="q">#REF!</definedName>
    <definedName name="w">#REF!</definedName>
    <definedName name="Z_010DFA8E_A529_484B_92DE_5FB0D64C2A46_.wvu.Cols" localSheetId="0" hidden="1">Sheet1!$C:$H,Sheet1!$W:$AF,Sheet1!$AP:$AY,Sheet1!$BI:$BR,Sheet1!$CB:$CK,Sheet1!$CU:$DD</definedName>
    <definedName name="Z_010DFA8E_A529_484B_92DE_5FB0D64C2A46_.wvu.FilterData" localSheetId="0" hidden="1">Sheet1!$A$4:$DF$4</definedName>
    <definedName name="Z_010DFA8E_A529_484B_92DE_5FB0D64C2A46_.wvu.PrintArea" localSheetId="0" hidden="1">Sheet1!$A$1:$CR$4</definedName>
    <definedName name="Z_010DFA8E_A529_484B_92DE_5FB0D64C2A46_.wvu.PrintTitles" localSheetId="0" hidden="1">Sheet1!$1:$4</definedName>
    <definedName name="Z_9DF38352_418C_4FDB_B9EF_0E99D7FF1C84_.wvu.Cols" localSheetId="0" hidden="1">Sheet1!$C:$H,Sheet1!$W:$AF,Sheet1!$AP:$AY,Sheet1!$BI:$BR,Sheet1!$CB:$CK,Sheet1!$CU:$DD</definedName>
    <definedName name="Z_9DF38352_418C_4FDB_B9EF_0E99D7FF1C84_.wvu.FilterData" localSheetId="0" hidden="1">Sheet1!$A$4:$DF$4</definedName>
    <definedName name="Z_9DF38352_418C_4FDB_B9EF_0E99D7FF1C84_.wvu.PrintArea" localSheetId="0" hidden="1">Sheet1!$A$1:$CR$4</definedName>
    <definedName name="Z_9DF38352_418C_4FDB_B9EF_0E99D7FF1C84_.wvu.PrintTitles" localSheetId="0" hidden="1">Sheet1!$1:$4</definedName>
    <definedName name="职员数据综合报表">#REF!</definedName>
  </definedNames>
  <calcPr calcId="191029"/>
  <customWorkbookViews>
    <customWorkbookView name="peterchen - 个人视图" guid="{010DFA8E-A529-484B-92DE-5FB0D64C2A46}" mergeInterval="0" personalView="1" maximized="1" xWindow="1" yWindow="1" windowWidth="1276" windowHeight="777" tabRatio="612" activeSheetId="1"/>
    <customWorkbookView name="fengxianliu - 个人视图" guid="{9DF38352-418C-4FDB-B9EF-0E99D7FF1C84}" mergeInterval="0" personalView="1" maximized="1" xWindow="1" yWindow="1" windowWidth="1276" windowHeight="735" tabRatio="61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I5" i="1" l="1"/>
  <c r="CJ5" i="1" s="1"/>
  <c r="CK5" i="1" s="1"/>
  <c r="DB5" i="1"/>
  <c r="DC5" i="1" s="1"/>
  <c r="DD5" i="1" s="1"/>
  <c r="CI6" i="1"/>
  <c r="CJ6" i="1" s="1"/>
  <c r="CK6" i="1" s="1"/>
  <c r="DB6" i="1"/>
  <c r="DC6" i="1"/>
  <c r="DD6" i="1" s="1"/>
  <c r="CB7" i="1"/>
  <c r="CG7" i="1" s="1"/>
  <c r="CC7" i="1"/>
  <c r="BZ5" i="1" s="1"/>
  <c r="CD7" i="1"/>
  <c r="CE7" i="1"/>
  <c r="CF7" i="1"/>
  <c r="CI7" i="1"/>
  <c r="CU7" i="1"/>
  <c r="CV7" i="1"/>
  <c r="CS5" i="1" s="1"/>
  <c r="CW7" i="1"/>
  <c r="CX7" i="1"/>
  <c r="CY7" i="1"/>
  <c r="CZ7" i="1"/>
  <c r="DB7" i="1"/>
  <c r="DC7" i="1" s="1"/>
  <c r="DD7" i="1" s="1"/>
  <c r="CI8" i="1"/>
  <c r="CJ7" i="1" s="1"/>
  <c r="CK7" i="1" s="1"/>
  <c r="CJ8" i="1"/>
  <c r="CK8" i="1"/>
  <c r="DB8" i="1"/>
  <c r="DC8" i="1" s="1"/>
  <c r="DD8" i="1" s="1"/>
  <c r="CI9" i="1"/>
  <c r="DB9" i="1"/>
  <c r="B5" i="1"/>
  <c r="D5" i="1"/>
  <c r="A5" i="1" s="1"/>
  <c r="E5" i="1"/>
  <c r="F5" i="1"/>
  <c r="G5" i="1"/>
  <c r="H5" i="1"/>
  <c r="CT5" i="1" l="1"/>
  <c r="CA5" i="1"/>
  <c r="BP9" i="1" l="1"/>
  <c r="AW9" i="1"/>
  <c r="AD9" i="1"/>
  <c r="BP8" i="1"/>
  <c r="AW8" i="1"/>
  <c r="AD8" i="1"/>
  <c r="BP7" i="1"/>
  <c r="BL7" i="1"/>
  <c r="BK7" i="1"/>
  <c r="BJ7" i="1"/>
  <c r="BI7" i="1"/>
  <c r="AW7" i="1"/>
  <c r="AS7" i="1"/>
  <c r="AR7" i="1"/>
  <c r="AQ7" i="1"/>
  <c r="AP7" i="1"/>
  <c r="AD7" i="1"/>
  <c r="Z7" i="1"/>
  <c r="Y7" i="1"/>
  <c r="X7" i="1"/>
  <c r="W7" i="1"/>
  <c r="BP6" i="1"/>
  <c r="AW6" i="1"/>
  <c r="AD6" i="1"/>
  <c r="BP5" i="1"/>
  <c r="AW5" i="1"/>
  <c r="AD5" i="1"/>
  <c r="BQ6" i="1" l="1"/>
  <c r="AE5" i="1"/>
  <c r="AF5" i="1" s="1"/>
  <c r="BQ8" i="1"/>
  <c r="BR8" i="1" s="1"/>
  <c r="AX6" i="1"/>
  <c r="AY6" i="1" s="1"/>
  <c r="AN5" i="1"/>
  <c r="AE6" i="1"/>
  <c r="AF6" i="1" s="1"/>
  <c r="AE7" i="1"/>
  <c r="AE8" i="1"/>
  <c r="AF8" i="1" s="1"/>
  <c r="AX8" i="1"/>
  <c r="AY8" i="1" s="1"/>
  <c r="U5" i="1"/>
  <c r="DE5" i="1" s="1"/>
  <c r="AX5" i="1"/>
  <c r="AY5" i="1" s="1"/>
  <c r="BQ7" i="1"/>
  <c r="BG5" i="1"/>
  <c r="BQ5" i="1"/>
  <c r="BR5" i="1" s="1"/>
  <c r="AX7" i="1"/>
  <c r="AA7" i="1" l="1"/>
  <c r="BR6" i="1"/>
  <c r="AF7" i="1"/>
  <c r="AB7" i="1" s="1"/>
  <c r="AY7" i="1"/>
  <c r="AT7" i="1" s="1"/>
  <c r="BR7" i="1"/>
  <c r="AU7" i="1" l="1"/>
  <c r="AO5" i="1" s="1"/>
  <c r="BN7" i="1"/>
  <c r="BM7" i="1"/>
  <c r="V5" i="1"/>
  <c r="DF5" i="1" l="1"/>
  <c r="BH5" i="1"/>
</calcChain>
</file>

<file path=xl/sharedStrings.xml><?xml version="1.0" encoding="utf-8"?>
<sst xmlns="http://schemas.openxmlformats.org/spreadsheetml/2006/main" count="4" uniqueCount="4">
  <si>
    <t>李沛</t>
  </si>
  <si>
    <r>
      <rPr>
        <sz val="22"/>
        <rFont val="Arial Unicode MS"/>
        <family val="2"/>
        <charset val="134"/>
      </rPr>
      <t xml:space="preserve">中文名
</t>
    </r>
    <r>
      <rPr>
        <sz val="22"/>
        <rFont val="Arial"/>
        <family val="2"/>
      </rPr>
      <t>Name(CN)</t>
    </r>
  </si>
  <si>
    <r>
      <t xml:space="preserve">OQA </t>
    </r>
    <r>
      <rPr>
        <sz val="22"/>
        <rFont val="宋体"/>
        <family val="3"/>
        <charset val="134"/>
      </rPr>
      <t>(</t>
    </r>
    <r>
      <rPr>
        <sz val="22"/>
        <rFont val="Arial"/>
        <family val="3"/>
      </rPr>
      <t>FR)</t>
    </r>
    <phoneticPr fontId="9" type="noConversion"/>
  </si>
  <si>
    <t>OQA(AJ)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</si>
</sst>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_ "/>
    <numFmt numFmtId="177" formatCode="0.0%"/>
    <numFmt numFmtId="178" formatCode="0.0_);[Red]\(0.0\)"/>
    <numFmt numFmtId="179" formatCode="[$-F400]h:mm:ss\ AM/PM"/>
    <numFmt numFmtId="180" formatCode="[$-409]d\-mmm;@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22"/>
      <name val="Arial Unicode MS"/>
      <family val="2"/>
      <charset val="134"/>
    </font>
    <font>
      <sz val="22"/>
      <name val="Arial"/>
      <family val="2"/>
    </font>
    <font>
      <sz val="22"/>
      <color rgb="FFFF0000"/>
      <name val="Arial"/>
      <family val="2"/>
    </font>
    <font>
      <sz val="22"/>
      <color indexed="10"/>
      <name val="Arial"/>
      <family val="2"/>
    </font>
    <font>
      <sz val="28"/>
      <name val="Arial"/>
      <family val="2"/>
    </font>
    <font>
      <b/>
      <sz val="22"/>
      <name val="Arial"/>
      <family val="2"/>
    </font>
    <font>
      <sz val="26"/>
      <name val="Arial"/>
      <family val="2"/>
    </font>
    <font>
      <b/>
      <sz val="28"/>
      <color theme="1"/>
      <name val="Arial"/>
      <family val="2"/>
    </font>
    <font>
      <b/>
      <sz val="36"/>
      <name val="Arial"/>
      <family val="2"/>
    </font>
    <font>
      <sz val="26"/>
      <name val="Arial"/>
      <family val="2"/>
      <charset val="134"/>
    </font>
    <font>
      <sz val="22"/>
      <name val="Arial"/>
      <family val="3"/>
    </font>
    <font>
      <b/>
      <sz val="26"/>
      <name val="Arial"/>
      <family val="2"/>
    </font>
    <font>
      <b/>
      <sz val="28"/>
      <name val="Arial"/>
      <family val="2"/>
    </font>
    <font>
      <b/>
      <sz val="28"/>
      <color theme="1"/>
      <name val="宋体"/>
      <family val="2"/>
      <charset val="134"/>
    </font>
    <font>
      <sz val="2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179" fontId="0" fillId="0" borderId="0">
      <alignment vertical="center"/>
    </xf>
    <xf numFmtId="179" fontId="12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9" fontId="12" fillId="0" borderId="0"/>
    <xf numFmtId="179" fontId="13" fillId="0" borderId="0"/>
    <xf numFmtId="179" fontId="11" fillId="0" borderId="0"/>
    <xf numFmtId="179" fontId="13" fillId="0" borderId="0">
      <alignment vertical="center"/>
    </xf>
    <xf numFmtId="179" fontId="11" fillId="0" borderId="0"/>
    <xf numFmtId="179" fontId="13" fillId="0" borderId="0"/>
    <xf numFmtId="179" fontId="10" fillId="0" borderId="0"/>
    <xf numFmtId="43" fontId="8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9" fontId="14" fillId="0" borderId="0"/>
    <xf numFmtId="179" fontId="11" fillId="0" borderId="0"/>
    <xf numFmtId="179" fontId="6" fillId="0" borderId="0">
      <alignment vertical="center"/>
    </xf>
    <xf numFmtId="179" fontId="14" fillId="0" borderId="0"/>
    <xf numFmtId="179" fontId="5" fillId="0" borderId="0">
      <alignment vertical="center"/>
    </xf>
    <xf numFmtId="179" fontId="14" fillId="0" borderId="0"/>
    <xf numFmtId="179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9" fontId="5" fillId="0" borderId="0">
      <alignment vertical="center"/>
    </xf>
    <xf numFmtId="180" fontId="4" fillId="0" borderId="0">
      <alignment vertical="center"/>
    </xf>
    <xf numFmtId="180" fontId="14" fillId="0" borderId="0"/>
    <xf numFmtId="180" fontId="13" fillId="0" borderId="0">
      <alignment vertical="center"/>
    </xf>
    <xf numFmtId="180" fontId="12" fillId="0" borderId="0"/>
    <xf numFmtId="180" fontId="13" fillId="0" borderId="0"/>
    <xf numFmtId="180" fontId="11" fillId="0" borderId="0"/>
    <xf numFmtId="180" fontId="13" fillId="0" borderId="0">
      <alignment vertical="center"/>
    </xf>
    <xf numFmtId="180" fontId="11" fillId="0" borderId="0"/>
    <xf numFmtId="180" fontId="13" fillId="0" borderId="0"/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80" fontId="14" fillId="0" borderId="0"/>
    <xf numFmtId="180" fontId="11" fillId="0" borderId="0"/>
    <xf numFmtId="180" fontId="4" fillId="0" borderId="0">
      <alignment vertical="center"/>
    </xf>
    <xf numFmtId="180" fontId="14" fillId="0" borderId="0"/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9" fontId="3" fillId="0" borderId="0"/>
    <xf numFmtId="179" fontId="3" fillId="0" borderId="0"/>
    <xf numFmtId="179" fontId="3" fillId="0" borderId="0"/>
    <xf numFmtId="0" fontId="13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9" fontId="2" fillId="0" borderId="0"/>
    <xf numFmtId="179" fontId="1" fillId="0" borderId="0">
      <alignment vertical="center"/>
    </xf>
    <xf numFmtId="179" fontId="2" fillId="0" borderId="0"/>
    <xf numFmtId="179" fontId="1" fillId="0" borderId="0">
      <alignment vertical="center"/>
    </xf>
    <xf numFmtId="179" fontId="2" fillId="0" borderId="0"/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9" fontId="1" fillId="0" borderId="0">
      <alignment vertical="center"/>
    </xf>
    <xf numFmtId="180" fontId="1" fillId="0" borderId="0">
      <alignment vertical="center"/>
    </xf>
    <xf numFmtId="180" fontId="2" fillId="0" borderId="0"/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80" fontId="2" fillId="0" borderId="0"/>
    <xf numFmtId="180" fontId="1" fillId="0" borderId="0">
      <alignment vertical="center"/>
    </xf>
    <xf numFmtId="180" fontId="2" fillId="0" borderId="0"/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9" fontId="2" fillId="0" borderId="0"/>
    <xf numFmtId="179" fontId="2" fillId="0" borderId="0"/>
    <xf numFmtId="179" fontId="2" fillId="0" borderId="0"/>
  </cellStyleXfs>
  <cellXfs count="168">
    <xf numFmtId="179" fontId="0" fillId="0" borderId="0" xfId="0">
      <alignment vertical="center"/>
    </xf>
    <xf numFmtId="179" fontId="16" fillId="0" borderId="5" xfId="1" applyFont="1" applyBorder="1" applyAlignment="1" applyProtection="1">
      <alignment horizontal="center" vertical="center"/>
      <protection locked="0"/>
    </xf>
    <xf numFmtId="9" fontId="16" fillId="2" borderId="6" xfId="1" applyNumberFormat="1" applyFont="1" applyFill="1" applyBorder="1" applyAlignment="1">
      <alignment horizontal="center" vertical="center"/>
    </xf>
    <xf numFmtId="179" fontId="16" fillId="0" borderId="7" xfId="1" applyFont="1" applyBorder="1" applyAlignment="1" applyProtection="1">
      <alignment horizontal="center" vertical="center"/>
      <protection hidden="1"/>
    </xf>
    <xf numFmtId="177" fontId="16" fillId="0" borderId="7" xfId="1" applyNumberFormat="1" applyFont="1" applyBorder="1" applyAlignment="1" applyProtection="1">
      <alignment horizontal="center" vertical="center"/>
      <protection hidden="1"/>
    </xf>
    <xf numFmtId="9" fontId="16" fillId="0" borderId="7" xfId="1" applyNumberFormat="1" applyFont="1" applyBorder="1" applyAlignment="1" applyProtection="1">
      <alignment horizontal="center" vertical="center"/>
      <protection hidden="1"/>
    </xf>
    <xf numFmtId="179" fontId="16" fillId="0" borderId="0" xfId="1" applyFont="1">
      <alignment vertical="center"/>
    </xf>
    <xf numFmtId="179" fontId="16" fillId="0" borderId="10" xfId="1" applyFont="1" applyBorder="1" applyAlignment="1" applyProtection="1">
      <alignment horizontal="center" vertical="center"/>
      <protection locked="0"/>
    </xf>
    <xf numFmtId="9" fontId="16" fillId="2" borderId="11" xfId="1" applyNumberFormat="1" applyFont="1" applyFill="1" applyBorder="1" applyAlignment="1">
      <alignment horizontal="center" vertical="center"/>
    </xf>
    <xf numFmtId="179" fontId="16" fillId="0" borderId="12" xfId="1" applyFont="1" applyBorder="1" applyAlignment="1" applyProtection="1">
      <alignment horizontal="center" vertical="center"/>
      <protection hidden="1"/>
    </xf>
    <xf numFmtId="177" fontId="16" fillId="0" borderId="12" xfId="1" applyNumberFormat="1" applyFont="1" applyBorder="1" applyAlignment="1" applyProtection="1">
      <alignment horizontal="center" vertical="center"/>
      <protection hidden="1"/>
    </xf>
    <xf numFmtId="9" fontId="16" fillId="0" borderId="12" xfId="1" applyNumberFormat="1" applyFont="1" applyBorder="1" applyAlignment="1" applyProtection="1">
      <alignment horizontal="center" vertical="center"/>
      <protection hidden="1"/>
    </xf>
    <xf numFmtId="9" fontId="18" fillId="2" borderId="11" xfId="1" applyNumberFormat="1" applyFont="1" applyFill="1" applyBorder="1" applyAlignment="1">
      <alignment horizontal="center" vertical="center"/>
    </xf>
    <xf numFmtId="179" fontId="16" fillId="0" borderId="15" xfId="1" applyFont="1" applyBorder="1" applyAlignment="1" applyProtection="1">
      <alignment horizontal="center" vertical="center"/>
      <protection locked="0"/>
    </xf>
    <xf numFmtId="9" fontId="16" fillId="2" borderId="16" xfId="1" applyNumberFormat="1" applyFont="1" applyFill="1" applyBorder="1" applyAlignment="1">
      <alignment horizontal="center" vertical="center"/>
    </xf>
    <xf numFmtId="179" fontId="16" fillId="0" borderId="17" xfId="1" applyFont="1" applyBorder="1" applyAlignment="1" applyProtection="1">
      <alignment horizontal="center" vertical="center"/>
      <protection hidden="1"/>
    </xf>
    <xf numFmtId="177" fontId="16" fillId="0" borderId="17" xfId="1" applyNumberFormat="1" applyFont="1" applyBorder="1" applyAlignment="1" applyProtection="1">
      <alignment horizontal="center" vertical="center"/>
      <protection hidden="1"/>
    </xf>
    <xf numFmtId="9" fontId="16" fillId="0" borderId="17" xfId="1" applyNumberFormat="1" applyFont="1" applyBorder="1" applyAlignment="1" applyProtection="1">
      <alignment horizontal="center" vertical="center"/>
      <protection hidden="1"/>
    </xf>
    <xf numFmtId="0" fontId="16" fillId="2" borderId="3" xfId="1" applyNumberFormat="1" applyFont="1" applyFill="1" applyBorder="1" applyAlignment="1">
      <alignment horizontal="center" vertical="center"/>
    </xf>
    <xf numFmtId="0" fontId="16" fillId="0" borderId="4" xfId="1" applyNumberFormat="1" applyFont="1" applyBorder="1" applyAlignment="1" applyProtection="1">
      <alignment horizontal="center" vertical="center"/>
      <protection locked="0"/>
    </xf>
    <xf numFmtId="0" fontId="16" fillId="2" borderId="8" xfId="1" applyNumberFormat="1" applyFont="1" applyFill="1" applyBorder="1" applyAlignment="1">
      <alignment horizontal="center" vertical="center"/>
    </xf>
    <xf numFmtId="0" fontId="16" fillId="0" borderId="9" xfId="1" applyNumberFormat="1" applyFont="1" applyBorder="1" applyAlignment="1" applyProtection="1">
      <alignment horizontal="center" vertical="center"/>
      <protection locked="0"/>
    </xf>
    <xf numFmtId="0" fontId="16" fillId="2" borderId="13" xfId="1" applyNumberFormat="1" applyFont="1" applyFill="1" applyBorder="1" applyAlignment="1">
      <alignment horizontal="center" vertical="center"/>
    </xf>
    <xf numFmtId="0" fontId="16" fillId="0" borderId="14" xfId="1" applyNumberFormat="1" applyFont="1" applyBorder="1" applyAlignment="1" applyProtection="1">
      <alignment horizontal="center" vertical="center"/>
      <protection locked="0"/>
    </xf>
    <xf numFmtId="179" fontId="16" fillId="0" borderId="0" xfId="1" applyFont="1" applyAlignment="1">
      <alignment vertical="top"/>
    </xf>
    <xf numFmtId="179" fontId="20" fillId="7" borderId="0" xfId="1" applyFont="1" applyFill="1" applyAlignment="1">
      <alignment vertical="top"/>
    </xf>
    <xf numFmtId="179" fontId="16" fillId="7" borderId="0" xfId="1" applyFont="1" applyFill="1" applyAlignment="1">
      <alignment vertical="top"/>
    </xf>
    <xf numFmtId="179" fontId="21" fillId="0" borderId="0" xfId="1" applyFont="1" applyAlignment="1">
      <alignment vertical="top"/>
    </xf>
    <xf numFmtId="0" fontId="16" fillId="0" borderId="0" xfId="1" applyNumberFormat="1" applyFont="1" applyAlignment="1">
      <alignment vertical="top"/>
    </xf>
    <xf numFmtId="10" fontId="16" fillId="0" borderId="0" xfId="1" applyNumberFormat="1" applyFont="1" applyAlignment="1">
      <alignment vertical="top"/>
    </xf>
    <xf numFmtId="179" fontId="16" fillId="0" borderId="0" xfId="1" applyFont="1" applyAlignment="1" applyProtection="1">
      <alignment vertical="top"/>
      <protection hidden="1"/>
    </xf>
    <xf numFmtId="179" fontId="19" fillId="0" borderId="0" xfId="1" applyFont="1" applyAlignment="1">
      <alignment vertical="top"/>
    </xf>
    <xf numFmtId="179" fontId="17" fillId="0" borderId="0" xfId="1" applyFont="1" applyAlignment="1">
      <alignment vertical="top"/>
    </xf>
    <xf numFmtId="179" fontId="16" fillId="2" borderId="2" xfId="1" applyFont="1" applyFill="1" applyBorder="1" applyProtection="1">
      <alignment vertical="center"/>
      <protection hidden="1"/>
    </xf>
    <xf numFmtId="179" fontId="16" fillId="3" borderId="2" xfId="1" applyFont="1" applyFill="1" applyBorder="1" applyProtection="1">
      <alignment vertical="center"/>
      <protection hidden="1"/>
    </xf>
    <xf numFmtId="179" fontId="21" fillId="0" borderId="1" xfId="1" applyFont="1" applyBorder="1" applyAlignment="1">
      <alignment horizontal="center" vertical="center" wrapText="1"/>
    </xf>
    <xf numFmtId="179" fontId="16" fillId="0" borderId="1" xfId="1" applyFont="1" applyBorder="1" applyAlignment="1">
      <alignment horizontal="center" vertical="center" wrapText="1"/>
    </xf>
    <xf numFmtId="10" fontId="16" fillId="0" borderId="1" xfId="1" applyNumberFormat="1" applyFont="1" applyBorder="1" applyAlignment="1">
      <alignment horizontal="center" vertical="center" wrapText="1"/>
    </xf>
    <xf numFmtId="179" fontId="16" fillId="0" borderId="1" xfId="1" applyFont="1" applyBorder="1" applyAlignment="1" applyProtection="1">
      <alignment horizontal="center" vertical="center" wrapText="1"/>
      <protection hidden="1"/>
    </xf>
    <xf numFmtId="179" fontId="19" fillId="0" borderId="1" xfId="1" applyFont="1" applyBorder="1" applyAlignment="1">
      <alignment horizontal="center" vertical="center" wrapText="1"/>
    </xf>
    <xf numFmtId="179" fontId="20" fillId="7" borderId="0" xfId="1" applyFont="1" applyFill="1">
      <alignment vertical="center"/>
    </xf>
    <xf numFmtId="179" fontId="16" fillId="7" borderId="0" xfId="1" applyFont="1" applyFill="1">
      <alignment vertical="center"/>
    </xf>
    <xf numFmtId="179" fontId="21" fillId="0" borderId="0" xfId="1" applyFont="1">
      <alignment vertical="center"/>
    </xf>
    <xf numFmtId="0" fontId="16" fillId="0" borderId="0" xfId="1" applyNumberFormat="1" applyFont="1">
      <alignment vertical="center"/>
    </xf>
    <xf numFmtId="10" fontId="16" fillId="0" borderId="0" xfId="1" applyNumberFormat="1" applyFont="1">
      <alignment vertical="center"/>
    </xf>
    <xf numFmtId="179" fontId="16" fillId="0" borderId="0" xfId="1" applyFont="1" applyProtection="1">
      <alignment vertical="center"/>
      <protection hidden="1"/>
    </xf>
    <xf numFmtId="179" fontId="19" fillId="0" borderId="0" xfId="1" applyFont="1">
      <alignment vertical="center"/>
    </xf>
    <xf numFmtId="179" fontId="17" fillId="0" borderId="0" xfId="1" applyFont="1">
      <alignment vertical="center"/>
    </xf>
    <xf numFmtId="179" fontId="23" fillId="7" borderId="0" xfId="1" applyFont="1" applyFill="1" applyAlignment="1">
      <alignment vertical="top"/>
    </xf>
    <xf numFmtId="179" fontId="22" fillId="7" borderId="0" xfId="1" applyFont="1" applyFill="1" applyAlignment="1">
      <alignment horizontal="center" vertical="top"/>
    </xf>
    <xf numFmtId="179" fontId="23" fillId="7" borderId="0" xfId="1" applyFont="1" applyFill="1">
      <alignment vertical="center"/>
    </xf>
    <xf numFmtId="179" fontId="22" fillId="7" borderId="0" xfId="1" applyFont="1" applyFill="1" applyAlignment="1">
      <alignment horizontal="center" vertical="center"/>
    </xf>
    <xf numFmtId="177" fontId="16" fillId="0" borderId="0" xfId="1" applyNumberFormat="1" applyFont="1" applyAlignment="1">
      <alignment vertical="top"/>
    </xf>
    <xf numFmtId="177" fontId="16" fillId="0" borderId="4" xfId="1" applyNumberFormat="1" applyFont="1" applyBorder="1" applyAlignment="1" applyProtection="1">
      <alignment horizontal="center" vertical="center"/>
      <protection locked="0"/>
    </xf>
    <xf numFmtId="177" fontId="16" fillId="0" borderId="9" xfId="1" applyNumberFormat="1" applyFont="1" applyBorder="1" applyAlignment="1" applyProtection="1">
      <alignment horizontal="center" vertical="center"/>
      <protection locked="0"/>
    </xf>
    <xf numFmtId="177" fontId="16" fillId="0" borderId="14" xfId="1" applyNumberFormat="1" applyFont="1" applyBorder="1" applyAlignment="1" applyProtection="1">
      <alignment horizontal="center" vertical="center"/>
      <protection locked="0"/>
    </xf>
    <xf numFmtId="177" fontId="16" fillId="0" borderId="0" xfId="1" applyNumberFormat="1" applyFont="1">
      <alignment vertical="center"/>
    </xf>
    <xf numFmtId="177" fontId="16" fillId="0" borderId="0" xfId="2" applyNumberFormat="1" applyFont="1" applyAlignment="1">
      <alignment vertical="top"/>
    </xf>
    <xf numFmtId="177" fontId="16" fillId="0" borderId="1" xfId="2" applyNumberFormat="1" applyFont="1" applyBorder="1" applyAlignment="1">
      <alignment horizontal="center" vertical="center" wrapText="1"/>
    </xf>
    <xf numFmtId="177" fontId="16" fillId="0" borderId="0" xfId="2" applyNumberFormat="1" applyFont="1">
      <alignment vertical="center"/>
    </xf>
    <xf numFmtId="177" fontId="16" fillId="0" borderId="1" xfId="1" applyNumberFormat="1" applyFont="1" applyBorder="1" applyAlignment="1">
      <alignment horizontal="center" vertical="center" wrapText="1"/>
    </xf>
    <xf numFmtId="179" fontId="26" fillId="7" borderId="0" xfId="1" applyFont="1" applyFill="1" applyAlignment="1">
      <alignment vertical="top"/>
    </xf>
    <xf numFmtId="0" fontId="16" fillId="0" borderId="1" xfId="1" applyNumberFormat="1" applyFont="1" applyBorder="1" applyAlignment="1">
      <alignment horizontal="center" vertical="center" wrapText="1"/>
    </xf>
    <xf numFmtId="49" fontId="16" fillId="0" borderId="0" xfId="1" applyNumberFormat="1" applyFont="1" applyAlignment="1">
      <alignment vertical="top"/>
    </xf>
    <xf numFmtId="49" fontId="16" fillId="0" borderId="0" xfId="1" applyNumberFormat="1" applyFont="1">
      <alignment vertical="center"/>
    </xf>
    <xf numFmtId="179" fontId="22" fillId="7" borderId="0" xfId="1" applyFont="1" applyFill="1" applyAlignment="1">
      <alignment vertical="top"/>
    </xf>
    <xf numFmtId="179" fontId="22" fillId="7" borderId="0" xfId="1" applyFont="1" applyFill="1">
      <alignment vertical="center"/>
    </xf>
    <xf numFmtId="179" fontId="16" fillId="7" borderId="1" xfId="1" applyFont="1" applyFill="1" applyBorder="1" applyAlignment="1">
      <alignment horizontal="center" vertical="center" wrapText="1"/>
    </xf>
    <xf numFmtId="179" fontId="16" fillId="7" borderId="7" xfId="1" applyFont="1" applyFill="1" applyBorder="1" applyAlignment="1">
      <alignment horizontal="center" vertical="center" wrapText="1"/>
    </xf>
    <xf numFmtId="179" fontId="16" fillId="7" borderId="17" xfId="1" applyFont="1" applyFill="1" applyBorder="1" applyAlignment="1">
      <alignment horizontal="center" vertical="center" wrapText="1"/>
    </xf>
    <xf numFmtId="179" fontId="20" fillId="7" borderId="7" xfId="1" applyFont="1" applyFill="1" applyBorder="1" applyAlignment="1">
      <alignment horizontal="center" vertical="center" wrapText="1"/>
    </xf>
    <xf numFmtId="179" fontId="20" fillId="7" borderId="17" xfId="1" applyFont="1" applyFill="1" applyBorder="1" applyAlignment="1">
      <alignment horizontal="center" vertical="center" wrapText="1"/>
    </xf>
    <xf numFmtId="176" fontId="16" fillId="2" borderId="7" xfId="1" applyNumberFormat="1" applyFont="1" applyFill="1" applyBorder="1" applyAlignment="1">
      <alignment horizontal="center" vertical="center"/>
    </xf>
    <xf numFmtId="176" fontId="16" fillId="2" borderId="12" xfId="1" applyNumberFormat="1" applyFont="1" applyFill="1" applyBorder="1" applyAlignment="1">
      <alignment horizontal="center" vertical="center"/>
    </xf>
    <xf numFmtId="176" fontId="16" fillId="2" borderId="17" xfId="1" applyNumberFormat="1" applyFont="1" applyFill="1" applyBorder="1" applyAlignment="1">
      <alignment horizontal="center" vertical="center"/>
    </xf>
    <xf numFmtId="179" fontId="16" fillId="0" borderId="7" xfId="1" applyFont="1" applyBorder="1" applyAlignment="1" applyProtection="1">
      <alignment horizontal="left" vertical="center" wrapText="1"/>
      <protection locked="0"/>
    </xf>
    <xf numFmtId="179" fontId="16" fillId="0" borderId="12" xfId="1" applyFont="1" applyBorder="1" applyAlignment="1" applyProtection="1">
      <alignment horizontal="left" vertical="center" wrapText="1"/>
      <protection locked="0"/>
    </xf>
    <xf numFmtId="179" fontId="16" fillId="0" borderId="17" xfId="1" applyFont="1" applyBorder="1" applyAlignment="1" applyProtection="1">
      <alignment horizontal="left" vertical="center" wrapText="1"/>
      <protection locked="0"/>
    </xf>
    <xf numFmtId="179" fontId="16" fillId="2" borderId="2" xfId="1" applyFont="1" applyFill="1" applyBorder="1" applyAlignment="1" applyProtection="1">
      <alignment horizontal="center" vertical="center"/>
      <protection hidden="1"/>
    </xf>
    <xf numFmtId="179" fontId="16" fillId="2" borderId="19" xfId="1" applyFont="1" applyFill="1" applyBorder="1" applyAlignment="1" applyProtection="1">
      <alignment horizontal="center" vertical="center"/>
      <protection hidden="1"/>
    </xf>
    <xf numFmtId="179" fontId="27" fillId="7" borderId="7" xfId="1" applyFont="1" applyFill="1" applyBorder="1" applyAlignment="1" applyProtection="1">
      <alignment horizontal="center" vertical="center" wrapText="1"/>
      <protection locked="0"/>
    </xf>
    <xf numFmtId="179" fontId="27" fillId="7" borderId="12" xfId="1" applyFont="1" applyFill="1" applyBorder="1" applyAlignment="1" applyProtection="1">
      <alignment horizontal="center" vertical="center" wrapText="1"/>
      <protection locked="0"/>
    </xf>
    <xf numFmtId="179" fontId="27" fillId="7" borderId="17" xfId="1" applyFont="1" applyFill="1" applyBorder="1" applyAlignment="1" applyProtection="1">
      <alignment horizontal="center" vertical="center" wrapText="1"/>
      <protection locked="0"/>
    </xf>
    <xf numFmtId="9" fontId="16" fillId="0" borderId="7" xfId="1" applyNumberFormat="1" applyFont="1" applyBorder="1" applyAlignment="1" applyProtection="1">
      <alignment horizontal="center" vertical="center"/>
      <protection locked="0"/>
    </xf>
    <xf numFmtId="9" fontId="16" fillId="0" borderId="12" xfId="1" applyNumberFormat="1" applyFont="1" applyBorder="1" applyAlignment="1" applyProtection="1">
      <alignment horizontal="center" vertical="center"/>
      <protection locked="0"/>
    </xf>
    <xf numFmtId="9" fontId="16" fillId="0" borderId="17" xfId="1" applyNumberFormat="1" applyFont="1" applyBorder="1" applyAlignment="1" applyProtection="1">
      <alignment horizontal="center" vertical="center"/>
      <protection locked="0"/>
    </xf>
    <xf numFmtId="9" fontId="16" fillId="2" borderId="7" xfId="1" applyNumberFormat="1" applyFont="1" applyFill="1" applyBorder="1" applyAlignment="1">
      <alignment horizontal="center" vertical="center"/>
    </xf>
    <xf numFmtId="9" fontId="16" fillId="2" borderId="12" xfId="1" applyNumberFormat="1" applyFont="1" applyFill="1" applyBorder="1" applyAlignment="1">
      <alignment horizontal="center" vertical="center"/>
    </xf>
    <xf numFmtId="9" fontId="16" fillId="2" borderId="17" xfId="1" applyNumberFormat="1" applyFont="1" applyFill="1" applyBorder="1" applyAlignment="1">
      <alignment horizontal="center" vertical="center"/>
    </xf>
    <xf numFmtId="179" fontId="28" fillId="7" borderId="7" xfId="1" applyFont="1" applyFill="1" applyBorder="1" applyAlignment="1" applyProtection="1">
      <alignment horizontal="center" vertical="center"/>
      <protection locked="0"/>
    </xf>
    <xf numFmtId="179" fontId="28" fillId="7" borderId="12" xfId="1" applyFont="1" applyFill="1" applyBorder="1" applyAlignment="1" applyProtection="1">
      <alignment horizontal="center" vertical="center"/>
      <protection locked="0"/>
    </xf>
    <xf numFmtId="179" fontId="28" fillId="7" borderId="17" xfId="1" applyFont="1" applyFill="1" applyBorder="1" applyAlignment="1" applyProtection="1">
      <alignment horizontal="center" vertical="center"/>
      <protection locked="0"/>
    </xf>
    <xf numFmtId="179" fontId="24" fillId="0" borderId="7" xfId="1" applyFont="1" applyBorder="1" applyAlignment="1" applyProtection="1">
      <alignment horizontal="center" vertical="center" wrapText="1"/>
      <protection locked="0"/>
    </xf>
    <xf numFmtId="179" fontId="24" fillId="0" borderId="12" xfId="1" applyFont="1" applyBorder="1" applyAlignment="1" applyProtection="1">
      <alignment horizontal="center" vertical="center" wrapText="1"/>
      <protection locked="0"/>
    </xf>
    <xf numFmtId="179" fontId="24" fillId="0" borderId="17" xfId="1" applyFont="1" applyBorder="1" applyAlignment="1" applyProtection="1">
      <alignment horizontal="center" vertical="center" wrapText="1"/>
      <protection locked="0"/>
    </xf>
    <xf numFmtId="179" fontId="22" fillId="7" borderId="7" xfId="1" applyFont="1" applyFill="1" applyBorder="1" applyAlignment="1">
      <alignment horizontal="center" vertical="center" wrapText="1"/>
    </xf>
    <xf numFmtId="179" fontId="22" fillId="7" borderId="17" xfId="1" applyFont="1" applyFill="1" applyBorder="1" applyAlignment="1">
      <alignment horizontal="center" vertical="center" wrapText="1"/>
    </xf>
    <xf numFmtId="14" fontId="22" fillId="7" borderId="7" xfId="1" applyNumberFormat="1" applyFont="1" applyFill="1" applyBorder="1" applyAlignment="1" applyProtection="1">
      <alignment horizontal="center" vertical="center" wrapText="1"/>
      <protection locked="0"/>
    </xf>
    <xf numFmtId="14" fontId="22" fillId="7" borderId="12" xfId="1" applyNumberFormat="1" applyFont="1" applyFill="1" applyBorder="1" applyAlignment="1" applyProtection="1">
      <alignment horizontal="center" vertical="center" wrapText="1"/>
      <protection locked="0"/>
    </xf>
    <xf numFmtId="14" fontId="22" fillId="7" borderId="17" xfId="1" applyNumberFormat="1" applyFont="1" applyFill="1" applyBorder="1" applyAlignment="1" applyProtection="1">
      <alignment horizontal="center" vertical="center" wrapText="1"/>
      <protection locked="0"/>
    </xf>
    <xf numFmtId="179" fontId="17" fillId="7" borderId="7" xfId="1" applyFont="1" applyFill="1" applyBorder="1" applyAlignment="1" applyProtection="1">
      <alignment horizontal="center" vertical="center" wrapText="1"/>
      <protection locked="0"/>
    </xf>
    <xf numFmtId="179" fontId="17" fillId="7" borderId="12" xfId="1" applyFont="1" applyFill="1" applyBorder="1" applyAlignment="1" applyProtection="1">
      <alignment horizontal="center" vertical="center" wrapText="1"/>
      <protection locked="0"/>
    </xf>
    <xf numFmtId="179" fontId="17" fillId="7" borderId="17" xfId="1" applyFont="1" applyFill="1" applyBorder="1" applyAlignment="1" applyProtection="1">
      <alignment horizontal="center" vertical="center" wrapText="1"/>
      <protection locked="0"/>
    </xf>
    <xf numFmtId="179" fontId="16" fillId="0" borderId="7" xfId="1" applyFont="1" applyBorder="1" applyAlignment="1">
      <alignment horizontal="center" vertical="center" wrapText="1"/>
    </xf>
    <xf numFmtId="179" fontId="16" fillId="0" borderId="17" xfId="1" applyFont="1" applyBorder="1" applyAlignment="1">
      <alignment horizontal="center" vertical="center" wrapText="1"/>
    </xf>
    <xf numFmtId="179" fontId="16" fillId="0" borderId="18" xfId="1" applyFont="1" applyBorder="1" applyAlignment="1">
      <alignment horizontal="center" vertical="center"/>
    </xf>
    <xf numFmtId="179" fontId="16" fillId="0" borderId="2" xfId="1" applyFont="1" applyBorder="1" applyAlignment="1">
      <alignment horizontal="center" vertical="center"/>
    </xf>
    <xf numFmtId="179" fontId="16" fillId="0" borderId="1" xfId="1" applyFont="1" applyBorder="1" applyAlignment="1">
      <alignment horizontal="center" vertical="center" wrapText="1"/>
    </xf>
    <xf numFmtId="179" fontId="16" fillId="3" borderId="2" xfId="1" applyFont="1" applyFill="1" applyBorder="1" applyAlignment="1" applyProtection="1">
      <alignment horizontal="center" vertical="center"/>
      <protection hidden="1"/>
    </xf>
    <xf numFmtId="179" fontId="25" fillId="7" borderId="7" xfId="1" applyFont="1" applyFill="1" applyBorder="1" applyAlignment="1" applyProtection="1">
      <alignment horizontal="left" vertical="center" wrapText="1"/>
      <protection locked="0"/>
    </xf>
    <xf numFmtId="179" fontId="25" fillId="7" borderId="12" xfId="1" applyFont="1" applyFill="1" applyBorder="1" applyAlignment="1" applyProtection="1">
      <alignment horizontal="left" vertical="center" wrapText="1"/>
      <protection locked="0"/>
    </xf>
    <xf numFmtId="179" fontId="25" fillId="7" borderId="17" xfId="1" applyFont="1" applyFill="1" applyBorder="1" applyAlignment="1" applyProtection="1">
      <alignment horizontal="left" vertical="center" wrapText="1"/>
      <protection locked="0"/>
    </xf>
    <xf numFmtId="10" fontId="16" fillId="2" borderId="7" xfId="1" applyNumberFormat="1" applyFont="1" applyFill="1" applyBorder="1" applyAlignment="1">
      <alignment horizontal="center" vertical="center"/>
    </xf>
    <xf numFmtId="10" fontId="16" fillId="2" borderId="12" xfId="1" applyNumberFormat="1" applyFont="1" applyFill="1" applyBorder="1" applyAlignment="1">
      <alignment horizontal="center" vertical="center"/>
    </xf>
    <xf numFmtId="10" fontId="16" fillId="2" borderId="17" xfId="1" applyNumberFormat="1" applyFont="1" applyFill="1" applyBorder="1" applyAlignment="1">
      <alignment horizontal="center" vertical="center"/>
    </xf>
    <xf numFmtId="0" fontId="16" fillId="4" borderId="7" xfId="1" applyNumberFormat="1" applyFont="1" applyFill="1" applyBorder="1" applyAlignment="1" applyProtection="1">
      <alignment horizontal="center" vertical="center"/>
      <protection locked="0"/>
    </xf>
    <xf numFmtId="0" fontId="16" fillId="4" borderId="12" xfId="1" applyNumberFormat="1" applyFont="1" applyFill="1" applyBorder="1" applyAlignment="1" applyProtection="1">
      <alignment horizontal="center" vertical="center"/>
      <protection locked="0"/>
    </xf>
    <xf numFmtId="0" fontId="16" fillId="4" borderId="17" xfId="1" applyNumberFormat="1" applyFont="1" applyFill="1" applyBorder="1" applyAlignment="1" applyProtection="1">
      <alignment horizontal="center" vertical="center"/>
      <protection locked="0"/>
    </xf>
    <xf numFmtId="179" fontId="16" fillId="7" borderId="12" xfId="1" applyFont="1" applyFill="1" applyBorder="1" applyAlignment="1" applyProtection="1">
      <alignment horizontal="left" vertical="center" wrapText="1"/>
      <protection locked="0"/>
    </xf>
    <xf numFmtId="179" fontId="16" fillId="7" borderId="17" xfId="1" applyFont="1" applyFill="1" applyBorder="1" applyAlignment="1" applyProtection="1">
      <alignment horizontal="left" vertical="center" wrapText="1"/>
      <protection locked="0"/>
    </xf>
    <xf numFmtId="177" fontId="16" fillId="4" borderId="7" xfId="1" applyNumberFormat="1" applyFont="1" applyFill="1" applyBorder="1" applyAlignment="1" applyProtection="1">
      <alignment horizontal="center" vertical="center"/>
      <protection locked="0"/>
    </xf>
    <xf numFmtId="177" fontId="16" fillId="4" borderId="12" xfId="1" applyNumberFormat="1" applyFont="1" applyFill="1" applyBorder="1" applyAlignment="1" applyProtection="1">
      <alignment horizontal="center" vertical="center"/>
      <protection locked="0"/>
    </xf>
    <xf numFmtId="177" fontId="16" fillId="4" borderId="17" xfId="1" applyNumberFormat="1" applyFont="1" applyFill="1" applyBorder="1" applyAlignment="1" applyProtection="1">
      <alignment horizontal="center" vertical="center"/>
      <protection locked="0"/>
    </xf>
    <xf numFmtId="179" fontId="16" fillId="7" borderId="7" xfId="1" applyFont="1" applyFill="1" applyBorder="1" applyAlignment="1" applyProtection="1">
      <alignment horizontal="left" vertical="center" wrapText="1"/>
      <protection locked="0"/>
    </xf>
    <xf numFmtId="177" fontId="16" fillId="4" borderId="7" xfId="2" applyNumberFormat="1" applyFont="1" applyFill="1" applyBorder="1" applyAlignment="1" applyProtection="1">
      <alignment horizontal="center" vertical="center"/>
      <protection locked="0"/>
    </xf>
    <xf numFmtId="177" fontId="16" fillId="4" borderId="12" xfId="2" applyNumberFormat="1" applyFont="1" applyFill="1" applyBorder="1" applyAlignment="1" applyProtection="1">
      <alignment horizontal="center" vertical="center"/>
      <protection locked="0"/>
    </xf>
    <xf numFmtId="177" fontId="16" fillId="4" borderId="17" xfId="2" applyNumberFormat="1" applyFont="1" applyFill="1" applyBorder="1" applyAlignment="1" applyProtection="1">
      <alignment horizontal="center" vertical="center"/>
      <protection locked="0"/>
    </xf>
    <xf numFmtId="49" fontId="16" fillId="0" borderId="7" xfId="1" applyNumberFormat="1" applyFont="1" applyBorder="1" applyAlignment="1">
      <alignment horizontal="center" vertical="center" wrapText="1"/>
    </xf>
    <xf numFmtId="49" fontId="16" fillId="0" borderId="17" xfId="1" applyNumberFormat="1" applyFont="1" applyBorder="1" applyAlignment="1">
      <alignment horizontal="center" vertical="center" wrapText="1"/>
    </xf>
    <xf numFmtId="10" fontId="16" fillId="0" borderId="7" xfId="1" applyNumberFormat="1" applyFont="1" applyBorder="1" applyAlignment="1">
      <alignment horizontal="center" vertical="center" wrapText="1"/>
    </xf>
    <xf numFmtId="10" fontId="16" fillId="0" borderId="17" xfId="1" applyNumberFormat="1" applyFont="1" applyBorder="1" applyAlignment="1">
      <alignment horizontal="center" vertical="center" wrapText="1"/>
    </xf>
    <xf numFmtId="179" fontId="16" fillId="7" borderId="2" xfId="1" applyFont="1" applyFill="1" applyBorder="1" applyAlignment="1" applyProtection="1">
      <alignment horizontal="center" vertical="center"/>
      <protection hidden="1"/>
    </xf>
    <xf numFmtId="0" fontId="16" fillId="0" borderId="18" xfId="1" applyNumberFormat="1" applyFont="1" applyBorder="1" applyAlignment="1">
      <alignment horizontal="center" vertical="center" wrapText="1"/>
    </xf>
    <xf numFmtId="0" fontId="16" fillId="0" borderId="19" xfId="1" applyNumberFormat="1" applyFont="1" applyBorder="1" applyAlignment="1">
      <alignment horizontal="center" vertical="center" wrapText="1"/>
    </xf>
    <xf numFmtId="0" fontId="16" fillId="0" borderId="7" xfId="1" applyNumberFormat="1" applyFont="1" applyBorder="1" applyAlignment="1">
      <alignment horizontal="center" vertical="center" wrapText="1"/>
    </xf>
    <xf numFmtId="0" fontId="16" fillId="0" borderId="1" xfId="1" applyNumberFormat="1" applyFont="1" applyBorder="1" applyAlignment="1">
      <alignment horizontal="center" vertical="center" wrapText="1"/>
    </xf>
    <xf numFmtId="179" fontId="16" fillId="7" borderId="19" xfId="1" applyFont="1" applyFill="1" applyBorder="1" applyAlignment="1" applyProtection="1">
      <alignment horizontal="center" vertical="center"/>
      <protection hidden="1"/>
    </xf>
    <xf numFmtId="179" fontId="16" fillId="0" borderId="7" xfId="13" applyFont="1" applyBorder="1" applyAlignment="1">
      <alignment horizontal="center" vertical="center" wrapText="1"/>
    </xf>
    <xf numFmtId="0" fontId="16" fillId="0" borderId="12" xfId="13" applyNumberFormat="1" applyFont="1" applyBorder="1" applyAlignment="1">
      <alignment horizontal="center" vertical="center" wrapText="1"/>
    </xf>
    <xf numFmtId="0" fontId="16" fillId="0" borderId="17" xfId="13" applyNumberFormat="1" applyFont="1" applyBorder="1" applyAlignment="1">
      <alignment horizontal="center" vertical="center" wrapText="1"/>
    </xf>
    <xf numFmtId="178" fontId="19" fillId="6" borderId="7" xfId="1" applyNumberFormat="1" applyFont="1" applyFill="1" applyBorder="1" applyAlignment="1" applyProtection="1">
      <alignment horizontal="center" vertical="center"/>
      <protection locked="0"/>
    </xf>
    <xf numFmtId="178" fontId="19" fillId="6" borderId="12" xfId="1" applyNumberFormat="1" applyFont="1" applyFill="1" applyBorder="1" applyAlignment="1" applyProtection="1">
      <alignment horizontal="center" vertical="center"/>
      <protection locked="0"/>
    </xf>
    <xf numFmtId="178" fontId="19" fillId="6" borderId="17" xfId="1" applyNumberFormat="1" applyFont="1" applyFill="1" applyBorder="1" applyAlignment="1" applyProtection="1">
      <alignment horizontal="center" vertical="center"/>
      <protection locked="0"/>
    </xf>
    <xf numFmtId="178" fontId="16" fillId="4" borderId="7" xfId="1" applyNumberFormat="1" applyFont="1" applyFill="1" applyBorder="1" applyAlignment="1" applyProtection="1">
      <alignment horizontal="center" vertical="center"/>
      <protection locked="0"/>
    </xf>
    <xf numFmtId="178" fontId="16" fillId="4" borderId="12" xfId="1" applyNumberFormat="1" applyFont="1" applyFill="1" applyBorder="1" applyAlignment="1" applyProtection="1">
      <alignment horizontal="center" vertical="center"/>
      <protection locked="0"/>
    </xf>
    <xf numFmtId="178" fontId="16" fillId="4" borderId="17" xfId="1" applyNumberFormat="1" applyFont="1" applyFill="1" applyBorder="1" applyAlignment="1" applyProtection="1">
      <alignment horizontal="center" vertical="center"/>
      <protection locked="0"/>
    </xf>
    <xf numFmtId="9" fontId="16" fillId="0" borderId="7" xfId="1" applyNumberFormat="1" applyFont="1" applyBorder="1" applyAlignment="1">
      <alignment horizontal="center" vertical="center"/>
    </xf>
    <xf numFmtId="9" fontId="16" fillId="0" borderId="12" xfId="1" applyNumberFormat="1" applyFont="1" applyBorder="1" applyAlignment="1">
      <alignment horizontal="center" vertical="center"/>
    </xf>
    <xf numFmtId="9" fontId="16" fillId="0" borderId="17" xfId="1" applyNumberFormat="1" applyFont="1" applyBorder="1" applyAlignment="1">
      <alignment horizontal="center" vertical="center"/>
    </xf>
    <xf numFmtId="10" fontId="16" fillId="5" borderId="7" xfId="1" applyNumberFormat="1" applyFont="1" applyFill="1" applyBorder="1" applyAlignment="1">
      <alignment horizontal="center" vertical="center"/>
    </xf>
    <xf numFmtId="10" fontId="16" fillId="5" borderId="12" xfId="1" applyNumberFormat="1" applyFont="1" applyFill="1" applyBorder="1" applyAlignment="1">
      <alignment horizontal="center" vertical="center"/>
    </xf>
    <xf numFmtId="10" fontId="16" fillId="5" borderId="17" xfId="1" applyNumberFormat="1" applyFont="1" applyFill="1" applyBorder="1" applyAlignment="1">
      <alignment horizontal="center" vertical="center"/>
    </xf>
    <xf numFmtId="176" fontId="18" fillId="2" borderId="7" xfId="1" applyNumberFormat="1" applyFont="1" applyFill="1" applyBorder="1" applyAlignment="1">
      <alignment horizontal="center" vertical="center" wrapText="1"/>
    </xf>
    <xf numFmtId="176" fontId="18" fillId="2" borderId="12" xfId="1" applyNumberFormat="1" applyFont="1" applyFill="1" applyBorder="1" applyAlignment="1">
      <alignment horizontal="center" vertical="center" wrapText="1"/>
    </xf>
    <xf numFmtId="176" fontId="18" fillId="2" borderId="17" xfId="1" applyNumberFormat="1" applyFont="1" applyFill="1" applyBorder="1" applyAlignment="1">
      <alignment horizontal="center" vertical="center" wrapText="1"/>
    </xf>
    <xf numFmtId="0" fontId="16" fillId="0" borderId="7" xfId="1" applyNumberFormat="1" applyFont="1" applyBorder="1" applyAlignment="1">
      <alignment horizontal="center" vertical="center"/>
    </xf>
    <xf numFmtId="0" fontId="16" fillId="0" borderId="12" xfId="1" applyNumberFormat="1" applyFont="1" applyBorder="1" applyAlignment="1">
      <alignment horizontal="center" vertical="center"/>
    </xf>
    <xf numFmtId="0" fontId="16" fillId="0" borderId="17" xfId="1" applyNumberFormat="1" applyFont="1" applyBorder="1" applyAlignment="1">
      <alignment horizontal="center" vertical="center"/>
    </xf>
    <xf numFmtId="179" fontId="16" fillId="7" borderId="12" xfId="1" applyFont="1" applyFill="1" applyBorder="1" applyAlignment="1">
      <alignment horizontal="center" vertical="center" wrapText="1"/>
    </xf>
    <xf numFmtId="179" fontId="16" fillId="7" borderId="7" xfId="13" applyFont="1" applyFill="1" applyBorder="1" applyAlignment="1">
      <alignment horizontal="center" vertical="center" wrapText="1"/>
    </xf>
    <xf numFmtId="179" fontId="16" fillId="7" borderId="12" xfId="13" applyFont="1" applyFill="1" applyBorder="1" applyAlignment="1">
      <alignment horizontal="center" vertical="center" wrapText="1"/>
    </xf>
    <xf numFmtId="179" fontId="16" fillId="7" borderId="17" xfId="13" applyFont="1" applyFill="1" applyBorder="1" applyAlignment="1">
      <alignment horizontal="center" vertical="center" wrapText="1"/>
    </xf>
    <xf numFmtId="14" fontId="16" fillId="7" borderId="7" xfId="13" applyNumberFormat="1" applyFont="1" applyFill="1" applyBorder="1" applyAlignment="1">
      <alignment horizontal="center" vertical="center" wrapText="1"/>
    </xf>
    <xf numFmtId="14" fontId="16" fillId="7" borderId="12" xfId="13" applyNumberFormat="1" applyFont="1" applyFill="1" applyBorder="1" applyAlignment="1">
      <alignment horizontal="center" vertical="center" wrapText="1"/>
    </xf>
    <xf numFmtId="14" fontId="16" fillId="7" borderId="17" xfId="13" applyNumberFormat="1" applyFont="1" applyFill="1" applyBorder="1" applyAlignment="1">
      <alignment horizontal="center" vertical="center" wrapText="1"/>
    </xf>
    <xf numFmtId="0" fontId="20" fillId="7" borderId="7" xfId="13" applyNumberFormat="1" applyFont="1" applyFill="1" applyBorder="1" applyAlignment="1">
      <alignment horizontal="center" vertical="center" wrapText="1"/>
    </xf>
    <xf numFmtId="0" fontId="20" fillId="7" borderId="12" xfId="13" applyNumberFormat="1" applyFont="1" applyFill="1" applyBorder="1" applyAlignment="1">
      <alignment horizontal="center" vertical="center" wrapText="1"/>
    </xf>
    <xf numFmtId="0" fontId="20" fillId="7" borderId="17" xfId="13" applyNumberFormat="1" applyFont="1" applyFill="1" applyBorder="1" applyAlignment="1">
      <alignment horizontal="center" vertical="center" wrapText="1"/>
    </xf>
  </cellXfs>
  <cellStyles count="115">
    <cellStyle name="Normal_2010_1-3S MBO Template of Batch" xfId="1" xr:uid="{00000000-0005-0000-0000-000000000000}"/>
    <cellStyle name="百分比" xfId="2" builtinId="5"/>
    <cellStyle name="百分比 2" xfId="3" xr:uid="{00000000-0005-0000-0000-000002000000}"/>
    <cellStyle name="百分比 2 2" xfId="4" xr:uid="{00000000-0005-0000-0000-000003000000}"/>
    <cellStyle name="百分比 2 3" xfId="70" xr:uid="{F62E0E5E-842E-4DF2-956F-33668102901B}"/>
    <cellStyle name="百分比 3" xfId="5" xr:uid="{00000000-0005-0000-0000-000004000000}"/>
    <cellStyle name="百分比 4" xfId="6" xr:uid="{00000000-0005-0000-0000-000005000000}"/>
    <cellStyle name="百分比 5" xfId="25" xr:uid="{00000000-0005-0000-0000-000006000000}"/>
    <cellStyle name="常Ǆ" xfId="7" xr:uid="{00000000-0005-0000-0000-000007000000}"/>
    <cellStyle name="常Ǆ 2" xfId="35" xr:uid="{00000000-0005-0000-0000-000006000000}"/>
    <cellStyle name="常规" xfId="0" builtinId="0"/>
    <cellStyle name="常规 10" xfId="8" xr:uid="{00000000-0005-0000-0000-000009000000}"/>
    <cellStyle name="常规 10 10" xfId="66" xr:uid="{1CF3FB39-4E89-4B47-A32B-2E24859228FE}"/>
    <cellStyle name="常规 10 10 2" xfId="113" xr:uid="{F58EB100-B19C-42EC-B555-8EF07AE5487E}"/>
    <cellStyle name="常规 10 2" xfId="36" xr:uid="{00000000-0005-0000-0000-000008000000}"/>
    <cellStyle name="常规 10 2 2" xfId="67" xr:uid="{8942A018-CA08-4C6A-9549-632D5B9CA1C6}"/>
    <cellStyle name="常规 10 2 2 2" xfId="114" xr:uid="{7C95231C-C0CF-45BC-8F71-AD81D950EB2C}"/>
    <cellStyle name="常规 11" xfId="69" xr:uid="{7BAB204A-D672-4673-98B6-B102EE3A58A3}"/>
    <cellStyle name="常规 132 2 2 2" xfId="68" xr:uid="{B66C1CDF-54B3-43A8-B0BB-4CEFD70F66E6}"/>
    <cellStyle name="常规 2" xfId="9" xr:uid="{00000000-0005-0000-0000-00000A000000}"/>
    <cellStyle name="常规 2 10" xfId="65" xr:uid="{F1387C40-AF1D-4969-A942-A959A4DC0299}"/>
    <cellStyle name="常规 2 10 2" xfId="112" xr:uid="{5FEB6493-A000-4CBD-BDED-2B50D918A166}"/>
    <cellStyle name="常规 2 2" xfId="19" xr:uid="{00000000-0005-0000-0000-00000B000000}"/>
    <cellStyle name="常规 2 2 2" xfId="47" xr:uid="{00000000-0005-0000-0000-00000A000000}"/>
    <cellStyle name="常规 2 3" xfId="37" xr:uid="{00000000-0005-0000-0000-000009000000}"/>
    <cellStyle name="常规 3" xfId="10" xr:uid="{00000000-0005-0000-0000-00000C000000}"/>
    <cellStyle name="常规 3 2" xfId="21" xr:uid="{00000000-0005-0000-0000-00000D000000}"/>
    <cellStyle name="常规 3 2 2" xfId="49" xr:uid="{00000000-0005-0000-0000-00000C000000}"/>
    <cellStyle name="常规 3 2 2 2" xfId="96" xr:uid="{38693053-0446-4513-83F0-AB411A88F1FF}"/>
    <cellStyle name="常规 3 2 3" xfId="78" xr:uid="{F279CFA1-960A-49A6-87EB-32B57EF99BDC}"/>
    <cellStyle name="常规 3 3" xfId="38" xr:uid="{00000000-0005-0000-0000-00000B000000}"/>
    <cellStyle name="常规 4" xfId="11" xr:uid="{00000000-0005-0000-0000-00000E000000}"/>
    <cellStyle name="常规 4 2" xfId="39" xr:uid="{00000000-0005-0000-0000-00000D000000}"/>
    <cellStyle name="常规 5" xfId="12" xr:uid="{00000000-0005-0000-0000-00000F000000}"/>
    <cellStyle name="常规 5 2" xfId="40" xr:uid="{00000000-0005-0000-0000-00000E000000}"/>
    <cellStyle name="常规 52" xfId="20" xr:uid="{00000000-0005-0000-0000-000010000000}"/>
    <cellStyle name="常规 52 2" xfId="31" xr:uid="{00000000-0005-0000-0000-000011000000}"/>
    <cellStyle name="常规 52 2 2" xfId="86" xr:uid="{159061AC-4FFD-4AD5-93EA-F462EB31D60B}"/>
    <cellStyle name="常规 52 3" xfId="48" xr:uid="{00000000-0005-0000-0000-00000F000000}"/>
    <cellStyle name="常规 52 3 2" xfId="95" xr:uid="{329D096B-993C-4B94-AA1E-E26A08B91BA3}"/>
    <cellStyle name="常规 52 4" xfId="77" xr:uid="{69C279D8-2CE5-4437-8FE9-005487BC4E26}"/>
    <cellStyle name="常规 6" xfId="18" xr:uid="{00000000-0005-0000-0000-000012000000}"/>
    <cellStyle name="常规 6 2" xfId="46" xr:uid="{00000000-0005-0000-0000-000010000000}"/>
    <cellStyle name="常规 6 2 2" xfId="94" xr:uid="{E4EFFC20-90AE-4E4E-92A0-2C35361F6D6C}"/>
    <cellStyle name="常规 6 3" xfId="76" xr:uid="{4E2068F8-3D6D-4FFC-A775-61DB7ED3598A}"/>
    <cellStyle name="常规 65" xfId="23" xr:uid="{00000000-0005-0000-0000-000013000000}"/>
    <cellStyle name="常规 65 2" xfId="33" xr:uid="{00000000-0005-0000-0000-000001000000}"/>
    <cellStyle name="常规 65 2 2" xfId="88" xr:uid="{10B997A8-CC42-4254-91F7-476732EB9603}"/>
    <cellStyle name="常规 65 3" xfId="80" xr:uid="{14E8BC95-8D1C-4521-9DCD-8BFD126AEE86}"/>
    <cellStyle name="常规 7" xfId="24" xr:uid="{00000000-0005-0000-0000-000014000000}"/>
    <cellStyle name="常规 7 2" xfId="34" xr:uid="{00000000-0005-0000-0000-000037000000}"/>
    <cellStyle name="常规 8" xfId="22" xr:uid="{00000000-0005-0000-0000-000015000000}"/>
    <cellStyle name="常规 8 2" xfId="79" xr:uid="{32B2CF18-BB6C-43B3-AB0D-D48DBB51D451}"/>
    <cellStyle name="常规 9" xfId="32" xr:uid="{00000000-0005-0000-0000-000054000000}"/>
    <cellStyle name="常规 9 2" xfId="87" xr:uid="{A3DF34FB-D337-4991-8968-2F1AD6FF8CC6}"/>
    <cellStyle name="常规_54_05 MBO 2010 Metal injection painting(1-3J)" xfId="13" xr:uid="{00000000-0005-0000-0000-000019000000}"/>
    <cellStyle name="千位分隔 2" xfId="14" xr:uid="{00000000-0005-0000-0000-00001B000000}"/>
    <cellStyle name="千位分隔 2 2" xfId="15" xr:uid="{00000000-0005-0000-0000-00001C000000}"/>
    <cellStyle name="千位分隔 2 2 2" xfId="28" xr:uid="{00000000-0005-0000-0000-00001D000000}"/>
    <cellStyle name="千位分隔 2 2 2 2" xfId="62" xr:uid="{00000000-0005-0000-0000-000014000000}"/>
    <cellStyle name="千位分隔 2 2 2 2 2" xfId="109" xr:uid="{0A297826-5F9B-4DA6-B1B2-92127B5268DC}"/>
    <cellStyle name="千位分隔 2 2 2 3" xfId="52" xr:uid="{00000000-0005-0000-0000-000014000000}"/>
    <cellStyle name="千位分隔 2 2 2 3 2" xfId="99" xr:uid="{6969BCBB-296F-4E45-BA0C-41942FA83D35}"/>
    <cellStyle name="千位分隔 2 2 2 4" xfId="83" xr:uid="{971B2B19-55DF-4D34-A595-0E28EF1056CD}"/>
    <cellStyle name="千位分隔 2 2 3" xfId="57" xr:uid="{00000000-0005-0000-0000-000017000000}"/>
    <cellStyle name="千位分隔 2 2 3 2" xfId="104" xr:uid="{BE10A697-742C-495A-85D0-9445DA743ACC}"/>
    <cellStyle name="千位分隔 2 2 4" xfId="43" xr:uid="{00000000-0005-0000-0000-000017000000}"/>
    <cellStyle name="千位分隔 2 2 4 2" xfId="91" xr:uid="{7943506F-BB7E-4AA6-9212-7F53BE434DD9}"/>
    <cellStyle name="千位分隔 2 2 5" xfId="73" xr:uid="{EFEEB61C-62DF-4D9E-852C-F1CAB68797F9}"/>
    <cellStyle name="千位分隔 2 3" xfId="16" xr:uid="{00000000-0005-0000-0000-00001E000000}"/>
    <cellStyle name="千位分隔 2 3 2" xfId="29" xr:uid="{00000000-0005-0000-0000-00001F000000}"/>
    <cellStyle name="千位分隔 2 3 2 2" xfId="63" xr:uid="{00000000-0005-0000-0000-000015000000}"/>
    <cellStyle name="千位分隔 2 3 2 2 2" xfId="110" xr:uid="{87103757-457D-40A7-AC75-1BE04137BCF6}"/>
    <cellStyle name="千位分隔 2 3 2 3" xfId="53" xr:uid="{00000000-0005-0000-0000-000015000000}"/>
    <cellStyle name="千位分隔 2 3 2 3 2" xfId="100" xr:uid="{37065A27-1AE2-4B2A-9909-546FA3FDA962}"/>
    <cellStyle name="千位分隔 2 3 2 4" xfId="84" xr:uid="{8FC13878-6389-4CBE-8DA4-876D815BA546}"/>
    <cellStyle name="千位分隔 2 3 3" xfId="58" xr:uid="{00000000-0005-0000-0000-000018000000}"/>
    <cellStyle name="千位分隔 2 3 3 2" xfId="105" xr:uid="{8FFAD8D5-1FAB-4F24-8001-264E217A0EE7}"/>
    <cellStyle name="千位分隔 2 3 4" xfId="44" xr:uid="{00000000-0005-0000-0000-000018000000}"/>
    <cellStyle name="千位分隔 2 3 4 2" xfId="92" xr:uid="{5E5F340B-5CA3-438F-BFCF-A9AE0DC20326}"/>
    <cellStyle name="千位分隔 2 3 5" xfId="74" xr:uid="{59F5DA9C-87D9-408E-B95F-9CA304E5CF99}"/>
    <cellStyle name="千位分隔 2 4" xfId="27" xr:uid="{00000000-0005-0000-0000-000020000000}"/>
    <cellStyle name="千位分隔 2 4 2" xfId="61" xr:uid="{00000000-0005-0000-0000-000013000000}"/>
    <cellStyle name="千位分隔 2 4 2 2" xfId="108" xr:uid="{6E240B7E-87EA-43A0-B4B1-94DDD9449506}"/>
    <cellStyle name="千位分隔 2 4 3" xfId="51" xr:uid="{00000000-0005-0000-0000-000013000000}"/>
    <cellStyle name="千位分隔 2 4 3 2" xfId="98" xr:uid="{380AD92D-969B-4527-A515-7D9A2CFA16D6}"/>
    <cellStyle name="千位分隔 2 4 4" xfId="82" xr:uid="{46F291FB-9513-4BEF-B6FB-994574A6E4BE}"/>
    <cellStyle name="千位分隔 2 5" xfId="56" xr:uid="{00000000-0005-0000-0000-000016000000}"/>
    <cellStyle name="千位分隔 2 5 2" xfId="103" xr:uid="{1439377B-13ED-4C61-BDA5-9DB4245A18D0}"/>
    <cellStyle name="千位分隔 2 6" xfId="42" xr:uid="{00000000-0005-0000-0000-000016000000}"/>
    <cellStyle name="千位分隔 2 6 2" xfId="90" xr:uid="{181A3DF8-16BC-4C7B-929D-CDECF2EE1CF7}"/>
    <cellStyle name="千位分隔 2 7" xfId="72" xr:uid="{1C00E1D8-0283-4951-9EB5-2F1B2AFBF875}"/>
    <cellStyle name="千位分隔 3" xfId="17" xr:uid="{00000000-0005-0000-0000-000021000000}"/>
    <cellStyle name="千位分隔 3 2" xfId="30" xr:uid="{00000000-0005-0000-0000-000022000000}"/>
    <cellStyle name="千位分隔 3 2 2" xfId="64" xr:uid="{00000000-0005-0000-0000-000016000000}"/>
    <cellStyle name="千位分隔 3 2 2 2" xfId="111" xr:uid="{36FFEFFE-FFF2-4328-B27C-CA5EFB05EBB6}"/>
    <cellStyle name="千位分隔 3 2 3" xfId="54" xr:uid="{00000000-0005-0000-0000-000016000000}"/>
    <cellStyle name="千位分隔 3 2 3 2" xfId="101" xr:uid="{9341BC65-C662-4B91-B427-BECDB12C0DFB}"/>
    <cellStyle name="千位分隔 3 2 4" xfId="85" xr:uid="{A49AE4F7-A6E5-40C7-94B3-EF533E987B00}"/>
    <cellStyle name="千位分隔 3 3" xfId="59" xr:uid="{00000000-0005-0000-0000-000019000000}"/>
    <cellStyle name="千位分隔 3 3 2" xfId="106" xr:uid="{443C4108-60C3-4318-BB51-9DA240CA2CDF}"/>
    <cellStyle name="千位分隔 3 4" xfId="45" xr:uid="{00000000-0005-0000-0000-000019000000}"/>
    <cellStyle name="千位分隔 3 4 2" xfId="93" xr:uid="{E58AE75B-2E28-4E9B-A1B5-2DAE2B1BCE8F}"/>
    <cellStyle name="千位分隔 3 5" xfId="75" xr:uid="{C957A097-0A1F-4B48-A0CA-B3BCF12A393A}"/>
    <cellStyle name="千位分隔 4" xfId="26" xr:uid="{00000000-0005-0000-0000-000023000000}"/>
    <cellStyle name="千位分隔 4 2" xfId="50" xr:uid="{00000000-0005-0000-0000-000017000000}"/>
    <cellStyle name="千位分隔 4 2 2" xfId="60" xr:uid="{00000000-0005-0000-0000-000017000000}"/>
    <cellStyle name="千位分隔 4 2 2 2" xfId="107" xr:uid="{54E61C4C-A947-4B81-A1F9-6F738046AA36}"/>
    <cellStyle name="千位分隔 4 2 3" xfId="97" xr:uid="{C45AF605-B7A1-4C19-9B4D-84716A615F25}"/>
    <cellStyle name="千位分隔 4 3" xfId="55" xr:uid="{00000000-0005-0000-0000-000045000000}"/>
    <cellStyle name="千位分隔 4 3 2" xfId="102" xr:uid="{C9E4ECDF-95B5-4CE3-94F6-763FDBED4F2F}"/>
    <cellStyle name="千位分隔 4 4" xfId="41" xr:uid="{00000000-0005-0000-0000-000045000000}"/>
    <cellStyle name="千位分隔 4 4 2" xfId="89" xr:uid="{8A0463BC-9B7D-432D-AE2F-70F506229E8E}"/>
    <cellStyle name="千位分隔 4 5" xfId="81" xr:uid="{5543DF33-6D34-440B-BD24-8C5BA077D8B5}"/>
    <cellStyle name="千位分隔 5" xfId="71" xr:uid="{6B9C15A1-E24B-48F5-B278-9801C56E5EE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66"/>
      <color rgb="FF00FF00"/>
      <color rgb="FFFFCCFF"/>
      <color rgb="FFFF7C80"/>
      <color rgb="FFFF99FF"/>
      <color rgb="FF00FFFF"/>
      <color rgb="FFFF66FF"/>
      <color rgb="FF0066FF"/>
      <color rgb="FF00CC00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G9"/>
  <sheetViews>
    <sheetView tabSelected="1" zoomScale="40" zoomScaleNormal="40" zoomScaleSheetLayoutView="70" workbookViewId="0">
      <pane xSplit="40" ySplit="9" topLeftCell="BW10" activePane="bottomRight" state="frozen"/>
      <selection pane="topRight" activeCell="AO1" sqref="AO1"/>
      <selection pane="bottomLeft" activeCell="A10" sqref="A10"/>
      <selection pane="bottomRight" activeCell="L14" sqref="L14"/>
    </sheetView>
  </sheetViews>
  <sheetFormatPr defaultColWidth="9" defaultRowHeight="45"/>
  <cols>
    <col min="1" max="1" width="16.33203125" style="41" customWidth="1"/>
    <col min="2" max="2" width="21.109375" style="41" customWidth="1"/>
    <col min="3" max="3" width="21.33203125" style="40" customWidth="1"/>
    <col min="4" max="4" width="17.88671875" style="41" customWidth="1"/>
    <col min="5" max="6" width="17.6640625" style="41" hidden="1" customWidth="1"/>
    <col min="7" max="7" width="15.6640625" style="41" hidden="1" customWidth="1"/>
    <col min="8" max="8" width="24.109375" style="41" hidden="1" customWidth="1"/>
    <col min="9" max="9" width="20.88671875" style="50" customWidth="1"/>
    <col min="10" max="10" width="3.6640625" style="41" hidden="1" customWidth="1"/>
    <col min="11" max="11" width="4" style="51" hidden="1" customWidth="1"/>
    <col min="12" max="12" width="19.44140625" style="66" bestFit="1" customWidth="1"/>
    <col min="13" max="13" width="10.77734375" style="6" customWidth="1"/>
    <col min="14" max="14" width="28" style="42" customWidth="1"/>
    <col min="15" max="15" width="11.33203125" style="6" customWidth="1"/>
    <col min="16" max="16" width="5.77734375" style="43" bestFit="1" customWidth="1"/>
    <col min="17" max="17" width="14.88671875" style="56" customWidth="1"/>
    <col min="18" max="18" width="12.21875" style="6" hidden="1" customWidth="1"/>
    <col min="19" max="19" width="14.21875" style="6" hidden="1" customWidth="1"/>
    <col min="20" max="20" width="15.77734375" style="59" customWidth="1"/>
    <col min="21" max="21" width="11.77734375" style="6" hidden="1" customWidth="1"/>
    <col min="22" max="22" width="12.6640625" style="44" customWidth="1"/>
    <col min="23" max="32" width="10.33203125" style="45" hidden="1" customWidth="1"/>
    <col min="33" max="33" width="19.21875" style="41" customWidth="1"/>
    <col min="34" max="34" width="12" style="6" customWidth="1"/>
    <col min="35" max="35" width="5.77734375" style="43" bestFit="1" customWidth="1"/>
    <col min="36" max="36" width="17.109375" style="56" bestFit="1" customWidth="1"/>
    <col min="37" max="37" width="1.21875" style="6" customWidth="1"/>
    <col min="38" max="38" width="12.44140625" style="6" hidden="1" customWidth="1"/>
    <col min="39" max="39" width="20.6640625" style="56" customWidth="1"/>
    <col min="40" max="40" width="13.44140625" style="6" hidden="1" customWidth="1"/>
    <col min="41" max="41" width="13.44140625" style="44" customWidth="1"/>
    <col min="42" max="50" width="17.6640625" style="45" hidden="1" customWidth="1"/>
    <col min="51" max="51" width="20.88671875" style="45" hidden="1" customWidth="1"/>
    <col min="52" max="52" width="19.109375" style="41" customWidth="1"/>
    <col min="53" max="53" width="9.77734375" style="6" customWidth="1"/>
    <col min="54" max="54" width="6" style="43" customWidth="1"/>
    <col min="55" max="55" width="19.44140625" style="56" customWidth="1"/>
    <col min="56" max="56" width="1.33203125" style="6" customWidth="1"/>
    <col min="57" max="57" width="17.6640625" style="6" hidden="1" customWidth="1"/>
    <col min="58" max="58" width="19.21875" style="43" customWidth="1"/>
    <col min="59" max="59" width="12.33203125" style="6" hidden="1" customWidth="1"/>
    <col min="60" max="60" width="17" style="44" customWidth="1"/>
    <col min="61" max="70" width="17.6640625" style="45" hidden="1" customWidth="1"/>
    <col min="71" max="71" width="16.21875" style="6" customWidth="1"/>
    <col min="72" max="72" width="18.33203125" style="6" customWidth="1"/>
    <col min="73" max="73" width="10.77734375" style="43" customWidth="1"/>
    <col min="74" max="74" width="13.6640625" style="43" customWidth="1"/>
    <col min="75" max="75" width="0.88671875" style="6" customWidth="1"/>
    <col min="76" max="76" width="14.21875" style="6" customWidth="1"/>
    <col min="77" max="77" width="13.77734375" style="6" customWidth="1"/>
    <col min="78" max="78" width="12" style="6" customWidth="1"/>
    <col min="79" max="79" width="14.21875" style="44" customWidth="1"/>
    <col min="80" max="80" width="27.109375" style="45" hidden="1" customWidth="1"/>
    <col min="81" max="82" width="16.88671875" style="45" hidden="1" customWidth="1"/>
    <col min="83" max="83" width="19.44140625" style="45" hidden="1" customWidth="1"/>
    <col min="84" max="86" width="14.88671875" style="45" hidden="1" customWidth="1"/>
    <col min="87" max="87" width="16.88671875" style="45" hidden="1" customWidth="1"/>
    <col min="88" max="88" width="15.44140625" style="45" hidden="1" customWidth="1"/>
    <col min="89" max="89" width="19.44140625" style="45" hidden="1" customWidth="1"/>
    <col min="90" max="90" width="13.77734375" style="6" customWidth="1"/>
    <col min="91" max="91" width="12.6640625" style="6" customWidth="1"/>
    <col min="92" max="92" width="14.33203125" style="43" customWidth="1"/>
    <col min="93" max="93" width="10.6640625" style="43" customWidth="1"/>
    <col min="94" max="94" width="0.33203125" style="6" customWidth="1"/>
    <col min="95" max="95" width="26.77734375" style="6" bestFit="1" customWidth="1"/>
    <col min="96" max="96" width="15.33203125" style="46" customWidth="1"/>
    <col min="97" max="97" width="17.6640625" style="6" hidden="1" customWidth="1"/>
    <col min="98" max="98" width="17.6640625" style="44" customWidth="1"/>
    <col min="99" max="99" width="22.88671875" style="45" hidden="1" customWidth="1"/>
    <col min="100" max="100" width="5.109375" style="45" hidden="1" customWidth="1"/>
    <col min="101" max="106" width="13.109375" style="45" hidden="1" customWidth="1"/>
    <col min="107" max="107" width="13.6640625" style="45" hidden="1" customWidth="1"/>
    <col min="108" max="108" width="13.33203125" style="45" hidden="1" customWidth="1"/>
    <col min="109" max="109" width="17.6640625" style="47" customWidth="1"/>
    <col min="110" max="110" width="21.77734375" style="44" customWidth="1"/>
    <col min="111" max="111" width="19.109375" style="64" hidden="1" customWidth="1"/>
    <col min="112" max="112" width="21.77734375" style="6" customWidth="1"/>
    <col min="113" max="16384" width="9" style="6"/>
  </cols>
  <sheetData>
    <row r="1" spans="1:111" s="24" customFormat="1" ht="45.75" customHeight="1">
      <c r="A1" s="61"/>
      <c r="B1" s="26"/>
      <c r="C1" s="25"/>
      <c r="D1" s="26"/>
      <c r="E1" s="26"/>
      <c r="F1" s="26"/>
      <c r="G1" s="26"/>
      <c r="H1" s="26"/>
      <c r="I1" s="48"/>
      <c r="J1" s="26"/>
      <c r="K1" s="49"/>
      <c r="L1" s="65"/>
      <c r="N1" s="27"/>
      <c r="P1" s="28"/>
      <c r="Q1" s="52"/>
      <c r="T1" s="57"/>
      <c r="V1" s="29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26"/>
      <c r="AI1" s="28"/>
      <c r="AJ1" s="52"/>
      <c r="AM1" s="52"/>
      <c r="AO1" s="29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26"/>
      <c r="BB1" s="28"/>
      <c r="BC1" s="52"/>
      <c r="BF1" s="28"/>
      <c r="BH1" s="29"/>
      <c r="BI1" s="30"/>
      <c r="BJ1" s="30"/>
      <c r="BK1" s="30"/>
      <c r="BL1" s="30"/>
      <c r="BM1" s="30"/>
      <c r="BN1" s="30"/>
      <c r="BO1" s="30"/>
      <c r="BP1" s="30"/>
      <c r="BQ1" s="30"/>
      <c r="BR1" s="30"/>
      <c r="BU1" s="28"/>
      <c r="BV1" s="28"/>
      <c r="CA1" s="29"/>
      <c r="CB1" s="30"/>
      <c r="CC1" s="30"/>
      <c r="CD1" s="30"/>
      <c r="CE1" s="30"/>
      <c r="CF1" s="30"/>
      <c r="CG1" s="30"/>
      <c r="CH1" s="30"/>
      <c r="CI1" s="30"/>
      <c r="CJ1" s="30"/>
      <c r="CK1" s="30"/>
      <c r="CN1" s="28"/>
      <c r="CO1" s="28"/>
      <c r="CR1" s="31"/>
      <c r="CT1" s="29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2"/>
      <c r="DF1" s="29"/>
      <c r="DG1" s="63"/>
    </row>
    <row r="2" spans="1:111" s="24" customFormat="1" ht="4.5" customHeight="1">
      <c r="A2" s="26"/>
      <c r="B2" s="26"/>
      <c r="C2" s="25"/>
      <c r="D2" s="26"/>
      <c r="E2" s="26"/>
      <c r="F2" s="26"/>
      <c r="G2" s="26"/>
      <c r="H2" s="26"/>
      <c r="I2" s="48"/>
      <c r="J2" s="26"/>
      <c r="K2" s="49"/>
      <c r="L2" s="65"/>
      <c r="N2" s="27"/>
      <c r="P2" s="28"/>
      <c r="Q2" s="52"/>
      <c r="T2" s="57"/>
      <c r="V2" s="29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26"/>
      <c r="AI2" s="28"/>
      <c r="AJ2" s="52"/>
      <c r="AM2" s="52"/>
      <c r="AO2" s="29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26"/>
      <c r="BB2" s="28"/>
      <c r="BC2" s="52"/>
      <c r="BF2" s="28"/>
      <c r="BH2" s="29"/>
      <c r="BI2" s="30"/>
      <c r="BJ2" s="30"/>
      <c r="BK2" s="30"/>
      <c r="BL2" s="30"/>
      <c r="BM2" s="30"/>
      <c r="BN2" s="30"/>
      <c r="BO2" s="30"/>
      <c r="BP2" s="30"/>
      <c r="BQ2" s="30"/>
      <c r="BR2" s="30"/>
      <c r="BU2" s="28"/>
      <c r="BV2" s="28"/>
      <c r="CA2" s="29"/>
      <c r="CB2" s="30"/>
      <c r="CC2" s="30"/>
      <c r="CD2" s="30"/>
      <c r="CE2" s="30"/>
      <c r="CF2" s="30"/>
      <c r="CG2" s="30"/>
      <c r="CH2" s="30"/>
      <c r="CI2" s="30"/>
      <c r="CJ2" s="30"/>
      <c r="CK2" s="30"/>
      <c r="CN2" s="28"/>
      <c r="CO2" s="28"/>
      <c r="CR2" s="31"/>
      <c r="CT2" s="29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2"/>
      <c r="DF2" s="29"/>
      <c r="DG2" s="63"/>
    </row>
    <row r="3" spans="1:111" ht="34.5" customHeight="1">
      <c r="A3" s="68"/>
      <c r="B3" s="68"/>
      <c r="C3" s="70"/>
      <c r="D3" s="68"/>
      <c r="E3" s="68"/>
      <c r="F3" s="68"/>
      <c r="G3" s="68"/>
      <c r="H3" s="68"/>
      <c r="I3" s="70"/>
      <c r="J3" s="68"/>
      <c r="K3" s="95"/>
      <c r="L3" s="95"/>
      <c r="M3" s="103"/>
      <c r="N3" s="105"/>
      <c r="O3" s="106"/>
      <c r="P3" s="106"/>
      <c r="Q3" s="106"/>
      <c r="R3" s="106"/>
      <c r="S3" s="106"/>
      <c r="T3" s="106"/>
      <c r="U3" s="106"/>
      <c r="V3" s="106"/>
      <c r="W3" s="33"/>
      <c r="X3" s="34"/>
      <c r="Y3" s="78"/>
      <c r="Z3" s="78"/>
      <c r="AA3" s="108"/>
      <c r="AB3" s="108"/>
      <c r="AC3" s="78"/>
      <c r="AD3" s="78"/>
      <c r="AE3" s="78"/>
      <c r="AF3" s="79"/>
      <c r="AG3" s="105"/>
      <c r="AH3" s="106"/>
      <c r="AI3" s="106"/>
      <c r="AJ3" s="106"/>
      <c r="AK3" s="106"/>
      <c r="AL3" s="106"/>
      <c r="AM3" s="106"/>
      <c r="AN3" s="106"/>
      <c r="AO3" s="106"/>
      <c r="AP3" s="33"/>
      <c r="AQ3" s="34"/>
      <c r="AR3" s="78"/>
      <c r="AS3" s="78"/>
      <c r="AT3" s="108"/>
      <c r="AU3" s="108"/>
      <c r="AV3" s="78"/>
      <c r="AW3" s="78"/>
      <c r="AX3" s="78"/>
      <c r="AY3" s="79"/>
      <c r="AZ3" s="105"/>
      <c r="BA3" s="106"/>
      <c r="BB3" s="106"/>
      <c r="BC3" s="106"/>
      <c r="BD3" s="106"/>
      <c r="BE3" s="106"/>
      <c r="BF3" s="106"/>
      <c r="BG3" s="106"/>
      <c r="BH3" s="106"/>
      <c r="BI3" s="33"/>
      <c r="BJ3" s="34"/>
      <c r="BK3" s="78"/>
      <c r="BL3" s="78"/>
      <c r="BM3" s="108"/>
      <c r="BN3" s="108"/>
      <c r="BO3" s="78"/>
      <c r="BP3" s="78"/>
      <c r="BQ3" s="78"/>
      <c r="BR3" s="79"/>
      <c r="BS3" s="105"/>
      <c r="BT3" s="106"/>
      <c r="BU3" s="106"/>
      <c r="BV3" s="106"/>
      <c r="BW3" s="106"/>
      <c r="BX3" s="106"/>
      <c r="BY3" s="106"/>
      <c r="BZ3" s="106"/>
      <c r="CA3" s="106"/>
      <c r="CB3" s="33"/>
      <c r="CC3" s="34"/>
      <c r="CD3" s="78"/>
      <c r="CE3" s="78"/>
      <c r="CF3" s="108"/>
      <c r="CG3" s="108"/>
      <c r="CH3" s="78"/>
      <c r="CI3" s="78"/>
      <c r="CJ3" s="78"/>
      <c r="CK3" s="79"/>
      <c r="CL3" s="105"/>
      <c r="CM3" s="106"/>
      <c r="CN3" s="106"/>
      <c r="CO3" s="106"/>
      <c r="CP3" s="106"/>
      <c r="CQ3" s="106"/>
      <c r="CR3" s="106"/>
      <c r="CS3" s="106"/>
      <c r="CT3" s="106"/>
      <c r="CU3" s="33"/>
      <c r="CV3" s="34"/>
      <c r="CW3" s="78"/>
      <c r="CX3" s="78"/>
      <c r="CY3" s="131"/>
      <c r="CZ3" s="131"/>
      <c r="DA3" s="131"/>
      <c r="DB3" s="131"/>
      <c r="DC3" s="131"/>
      <c r="DD3" s="136"/>
      <c r="DE3" s="103"/>
      <c r="DF3" s="129"/>
      <c r="DG3" s="127" t="s">
        <v>1</v>
      </c>
    </row>
    <row r="4" spans="1:111" ht="34.799999999999997">
      <c r="A4" s="69"/>
      <c r="B4" s="69"/>
      <c r="C4" s="71"/>
      <c r="D4" s="69"/>
      <c r="E4" s="69"/>
      <c r="F4" s="69"/>
      <c r="G4" s="69"/>
      <c r="H4" s="69"/>
      <c r="I4" s="71"/>
      <c r="J4" s="69"/>
      <c r="K4" s="96"/>
      <c r="L4" s="96"/>
      <c r="M4" s="104"/>
      <c r="N4" s="35"/>
      <c r="O4" s="36"/>
      <c r="P4" s="103"/>
      <c r="Q4" s="107"/>
      <c r="R4" s="36"/>
      <c r="S4" s="36"/>
      <c r="T4" s="58"/>
      <c r="U4" s="36"/>
      <c r="V4" s="37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67"/>
      <c r="AH4" s="36"/>
      <c r="AI4" s="103"/>
      <c r="AJ4" s="107"/>
      <c r="AK4" s="36"/>
      <c r="AL4" s="36"/>
      <c r="AM4" s="60"/>
      <c r="AN4" s="36"/>
      <c r="AO4" s="37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67"/>
      <c r="BA4" s="36"/>
      <c r="BB4" s="103"/>
      <c r="BC4" s="107"/>
      <c r="BD4" s="36"/>
      <c r="BE4" s="36"/>
      <c r="BF4" s="62"/>
      <c r="BG4" s="36"/>
      <c r="BH4" s="37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6"/>
      <c r="BT4" s="36"/>
      <c r="BU4" s="134"/>
      <c r="BV4" s="135"/>
      <c r="BW4" s="36"/>
      <c r="BX4" s="36"/>
      <c r="BY4" s="36"/>
      <c r="BZ4" s="36"/>
      <c r="CA4" s="37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6"/>
      <c r="CM4" s="36"/>
      <c r="CN4" s="132"/>
      <c r="CO4" s="133"/>
      <c r="CP4" s="36"/>
      <c r="CQ4" s="36"/>
      <c r="CR4" s="39"/>
      <c r="CS4" s="36"/>
      <c r="CT4" s="37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104"/>
      <c r="DF4" s="130"/>
      <c r="DG4" s="128"/>
    </row>
    <row r="5" spans="1:111" ht="27.9" customHeight="1">
      <c r="A5" s="155">
        <f>SUBTOTAL(3,$D$3:D5)-1</f>
        <v>0</v>
      </c>
      <c r="B5" s="68" t="e">
        <f>_xlfn.XLOOKUP(C5,#REF!,#REF!,0)</f>
        <v>#REF!</v>
      </c>
      <c r="C5" s="165"/>
      <c r="D5" s="159" t="e">
        <f>VLOOKUP(C5,#REF!,2,0)</f>
        <v>#REF!</v>
      </c>
      <c r="E5" s="159" t="e">
        <f>VLOOKUP(C5,#REF!,3,0)</f>
        <v>#REF!</v>
      </c>
      <c r="F5" s="159" t="e">
        <f>VLOOKUP(C5,#REF!,4,0)</f>
        <v>#REF!</v>
      </c>
      <c r="G5" s="159" t="e">
        <f>VLOOKUP(C5,#REF!,5,0)</f>
        <v>#REF!</v>
      </c>
      <c r="H5" s="162" t="e">
        <f>VLOOKUP(C5,#REF!,6,0)</f>
        <v>#REF!</v>
      </c>
      <c r="I5" s="80"/>
      <c r="J5" s="100"/>
      <c r="K5" s="97"/>
      <c r="L5" s="89"/>
      <c r="M5" s="86">
        <v>0.15</v>
      </c>
      <c r="N5" s="92"/>
      <c r="O5" s="83">
        <v>0.2</v>
      </c>
      <c r="P5" s="18">
        <v>5</v>
      </c>
      <c r="Q5" s="53">
        <v>0.45500000000000002</v>
      </c>
      <c r="R5" s="1"/>
      <c r="S5" s="2">
        <v>1.5</v>
      </c>
      <c r="T5" s="124"/>
      <c r="U5" s="72">
        <f>IF(X7="A",IF(OR(O5=0,T5=""),0,Y7),IF(OR(O5=0,T5=""),0,Z7))</f>
        <v>0</v>
      </c>
      <c r="V5" s="112">
        <f>IF(X7="A",IF(OR(O5=0,T5=""),0,AA7),IF(OR(O5=0,T5=""),0,AB7))</f>
        <v>0</v>
      </c>
      <c r="W5" s="3"/>
      <c r="X5" s="3"/>
      <c r="Y5" s="3"/>
      <c r="Z5" s="3"/>
      <c r="AA5" s="4"/>
      <c r="AB5" s="4"/>
      <c r="AC5" s="5">
        <v>1.5</v>
      </c>
      <c r="AD5" s="3">
        <f t="shared" ref="AD5:AD9" si="0">Q5</f>
        <v>0.45500000000000002</v>
      </c>
      <c r="AE5" s="3">
        <f>+(AC5-AC6)/(AD5-AD6)</f>
        <v>49.999999999999957</v>
      </c>
      <c r="AF5" s="3">
        <f>+AC5-AE5*AD5</f>
        <v>-21.249999999999982</v>
      </c>
      <c r="AG5" s="123"/>
      <c r="AH5" s="83">
        <v>0.1</v>
      </c>
      <c r="AI5" s="18">
        <v>5</v>
      </c>
      <c r="AJ5" s="19">
        <v>5</v>
      </c>
      <c r="AK5" s="1"/>
      <c r="AL5" s="2">
        <v>1.5</v>
      </c>
      <c r="AM5" s="120"/>
      <c r="AN5" s="72">
        <f>IF(AQ7="A",IF(OR(AH5=0,AM5=""),0,AR7),IF(OR(AH5=0,AM5=""),0,AS7))</f>
        <v>0</v>
      </c>
      <c r="AO5" s="112">
        <f>IF(AQ7="A",IF(OR(AH5=0,AM5=""),0,AT7),IF(OR(AH5=0,AM5=""),0,AU7))</f>
        <v>0</v>
      </c>
      <c r="AP5" s="3"/>
      <c r="AQ5" s="3"/>
      <c r="AR5" s="3"/>
      <c r="AS5" s="3"/>
      <c r="AT5" s="4"/>
      <c r="AU5" s="4"/>
      <c r="AV5" s="5">
        <v>1.5</v>
      </c>
      <c r="AW5" s="3">
        <f t="shared" ref="AW5:AW9" si="1">AJ5</f>
        <v>5</v>
      </c>
      <c r="AX5" s="3">
        <f>+(AV5-AV6)/(AW5-AW6)</f>
        <v>0.25</v>
      </c>
      <c r="AY5" s="3">
        <f>+AV5-AX5*AW5</f>
        <v>0.25</v>
      </c>
      <c r="AZ5" s="109" t="s">
        <v>2</v>
      </c>
      <c r="BA5" s="83">
        <v>0.15</v>
      </c>
      <c r="BB5" s="18">
        <v>5</v>
      </c>
      <c r="BC5" s="53">
        <v>0.1</v>
      </c>
      <c r="BD5" s="1"/>
      <c r="BE5" s="2">
        <v>1.5</v>
      </c>
      <c r="BF5" s="115"/>
      <c r="BG5" s="72">
        <f>IF(BJ7="A",IF(OR(BA5=0,BF5=""),0,BK7),IF(OR(BA5=0,BF5=""),0,BL7))</f>
        <v>0</v>
      </c>
      <c r="BH5" s="112">
        <f>IF(BJ7="A",IF(OR(BA5=0,BF5=""),0,BM7),IF(OR(BA5=0,BF5=""),0,BN7))</f>
        <v>0</v>
      </c>
      <c r="BI5" s="3"/>
      <c r="BJ5" s="3"/>
      <c r="BK5" s="3"/>
      <c r="BL5" s="3"/>
      <c r="BM5" s="4"/>
      <c r="BN5" s="4"/>
      <c r="BO5" s="5">
        <v>1.5</v>
      </c>
      <c r="BP5" s="3">
        <f t="shared" ref="BP5:BP9" si="2">BC5</f>
        <v>0.1</v>
      </c>
      <c r="BQ5" s="3">
        <f>+(BO5-BO6)/(BP5-BP6)</f>
        <v>-10.000000000000002</v>
      </c>
      <c r="BR5" s="3">
        <f>+BO5-BQ5*BP5</f>
        <v>2.5</v>
      </c>
      <c r="BS5" s="109" t="s">
        <v>3</v>
      </c>
      <c r="BT5" s="83">
        <v>0.15</v>
      </c>
      <c r="BU5" s="18">
        <v>5</v>
      </c>
      <c r="BV5" s="53">
        <v>0.06</v>
      </c>
      <c r="BW5" s="1"/>
      <c r="BX5" s="2">
        <v>1.5</v>
      </c>
      <c r="BY5" s="143"/>
      <c r="BZ5" s="72">
        <f>IF(CC7="A",IF(OR(BT5=0,BY5=""),0,CD7),IF(OR(BT5=0,BY5=""),0,CE7))</f>
        <v>0</v>
      </c>
      <c r="CA5" s="112">
        <f>IF(CC7="A",IF(OR(BT5=0,BY5=""),0,CF7),IF(OR(BT5=0,BY5=""),0,CG7))</f>
        <v>0</v>
      </c>
      <c r="CB5" s="3"/>
      <c r="CC5" s="3"/>
      <c r="CD5" s="3"/>
      <c r="CE5" s="3"/>
      <c r="CF5" s="4"/>
      <c r="CG5" s="4"/>
      <c r="CH5" s="5">
        <v>1.5</v>
      </c>
      <c r="CI5" s="3">
        <f t="shared" ref="CI5:CI9" si="3">BV5</f>
        <v>0.06</v>
      </c>
      <c r="CJ5" s="3">
        <f>+(CH5-CH6)/(CI5-CI6)</f>
        <v>-12.499999999999998</v>
      </c>
      <c r="CK5" s="3">
        <f>+CH5-CJ5*CI5</f>
        <v>2.25</v>
      </c>
      <c r="CL5" s="75"/>
      <c r="CM5" s="146">
        <v>0.4</v>
      </c>
      <c r="CN5" s="18">
        <v>5</v>
      </c>
      <c r="CO5" s="19">
        <v>5</v>
      </c>
      <c r="CP5" s="1"/>
      <c r="CQ5" s="2">
        <v>1.5</v>
      </c>
      <c r="CR5" s="140"/>
      <c r="CS5" s="72">
        <f>IF(CV7="A",IF(OR(CM5=0,CR5=""),0,CW7),IF(OR(CM5=0,CR5=""),0,CX7))</f>
        <v>0</v>
      </c>
      <c r="CT5" s="112">
        <f>IF(CV7="A",IF(OR(CM5=0,CR5=""),0,CY7),IF(OR(CM5=0,CR5=""),0,CZ7))</f>
        <v>0</v>
      </c>
      <c r="CU5" s="3"/>
      <c r="CV5" s="3"/>
      <c r="CW5" s="3"/>
      <c r="CX5" s="3"/>
      <c r="CY5" s="4"/>
      <c r="CZ5" s="4"/>
      <c r="DA5" s="5">
        <v>1.5</v>
      </c>
      <c r="DB5" s="3">
        <f t="shared" ref="DB5:DB9" si="4">CO5</f>
        <v>5</v>
      </c>
      <c r="DC5" s="3">
        <f>+(DA5-DA6)/(DB5-DB6)</f>
        <v>0.25</v>
      </c>
      <c r="DD5" s="3">
        <f>+DA5-DC5*DB5</f>
        <v>0.25</v>
      </c>
      <c r="DE5" s="152">
        <f>IF(SUM(O5,AH5,BA5,CM5,BT5)&lt;&gt;100%,"The Sum of Weight is not equal to 100%",SUM(O5*U5,AH5*AN5,BA5*BG5,BT5*BZ5,CM5*CS5))</f>
        <v>0</v>
      </c>
      <c r="DF5" s="149">
        <f>SUM(V5,AO5,BH5,CA5,CT5)</f>
        <v>0</v>
      </c>
      <c r="DG5" s="137" t="s">
        <v>0</v>
      </c>
    </row>
    <row r="6" spans="1:111" ht="27.9" customHeight="1">
      <c r="A6" s="156"/>
      <c r="B6" s="158"/>
      <c r="C6" s="166"/>
      <c r="D6" s="160"/>
      <c r="E6" s="160"/>
      <c r="F6" s="160"/>
      <c r="G6" s="160"/>
      <c r="H6" s="163"/>
      <c r="I6" s="81"/>
      <c r="J6" s="101"/>
      <c r="K6" s="98"/>
      <c r="L6" s="90"/>
      <c r="M6" s="87"/>
      <c r="N6" s="93"/>
      <c r="O6" s="84"/>
      <c r="P6" s="20">
        <v>4</v>
      </c>
      <c r="Q6" s="54">
        <v>0.45</v>
      </c>
      <c r="R6" s="7"/>
      <c r="S6" s="8">
        <v>1.25</v>
      </c>
      <c r="T6" s="125"/>
      <c r="U6" s="73"/>
      <c r="V6" s="113"/>
      <c r="W6" s="9"/>
      <c r="X6" s="9"/>
      <c r="Y6" s="9"/>
      <c r="Z6" s="9"/>
      <c r="AA6" s="10"/>
      <c r="AB6" s="10"/>
      <c r="AC6" s="11">
        <v>1.25</v>
      </c>
      <c r="AD6" s="9">
        <f t="shared" si="0"/>
        <v>0.45</v>
      </c>
      <c r="AE6" s="9">
        <f>+(AC6-AC7)/(AD6-AD7)</f>
        <v>49.999999999999957</v>
      </c>
      <c r="AF6" s="9">
        <f>+AC6-AE6*AD6</f>
        <v>-21.249999999999982</v>
      </c>
      <c r="AG6" s="118"/>
      <c r="AH6" s="84"/>
      <c r="AI6" s="20">
        <v>4</v>
      </c>
      <c r="AJ6" s="19">
        <v>4</v>
      </c>
      <c r="AK6" s="7"/>
      <c r="AL6" s="8">
        <v>1.25</v>
      </c>
      <c r="AM6" s="121"/>
      <c r="AN6" s="73"/>
      <c r="AO6" s="113"/>
      <c r="AP6" s="9"/>
      <c r="AQ6" s="9"/>
      <c r="AR6" s="9"/>
      <c r="AS6" s="9"/>
      <c r="AT6" s="10"/>
      <c r="AU6" s="10"/>
      <c r="AV6" s="11">
        <v>1.25</v>
      </c>
      <c r="AW6" s="9">
        <f t="shared" si="1"/>
        <v>4</v>
      </c>
      <c r="AX6" s="9">
        <f>+(AV6-AV7)/(AW6-AW7)</f>
        <v>0.25</v>
      </c>
      <c r="AY6" s="9">
        <f>+AV6-AX6*AW6</f>
        <v>0.25</v>
      </c>
      <c r="AZ6" s="118"/>
      <c r="BA6" s="84"/>
      <c r="BB6" s="20">
        <v>4</v>
      </c>
      <c r="BC6" s="54">
        <v>0.125</v>
      </c>
      <c r="BD6" s="7"/>
      <c r="BE6" s="8">
        <v>1.25</v>
      </c>
      <c r="BF6" s="116"/>
      <c r="BG6" s="73"/>
      <c r="BH6" s="113"/>
      <c r="BI6" s="9"/>
      <c r="BJ6" s="9"/>
      <c r="BK6" s="9"/>
      <c r="BL6" s="9"/>
      <c r="BM6" s="10"/>
      <c r="BN6" s="10"/>
      <c r="BO6" s="11">
        <v>1.25</v>
      </c>
      <c r="BP6" s="9">
        <f t="shared" si="2"/>
        <v>0.125</v>
      </c>
      <c r="BQ6" s="9">
        <f>+(BO6-BO7)/(BP6-BP7)</f>
        <v>-10.000000000000002</v>
      </c>
      <c r="BR6" s="9">
        <f>+BO6-BQ6*BP6</f>
        <v>2.5</v>
      </c>
      <c r="BS6" s="110"/>
      <c r="BT6" s="84"/>
      <c r="BU6" s="20">
        <v>4</v>
      </c>
      <c r="BV6" s="54">
        <v>0.08</v>
      </c>
      <c r="BW6" s="7"/>
      <c r="BX6" s="8">
        <v>1.25</v>
      </c>
      <c r="BY6" s="144"/>
      <c r="BZ6" s="73"/>
      <c r="CA6" s="113"/>
      <c r="CB6" s="9"/>
      <c r="CC6" s="9"/>
      <c r="CD6" s="9"/>
      <c r="CE6" s="9"/>
      <c r="CF6" s="10"/>
      <c r="CG6" s="10"/>
      <c r="CH6" s="11">
        <v>1.25</v>
      </c>
      <c r="CI6" s="9">
        <f t="shared" si="3"/>
        <v>0.08</v>
      </c>
      <c r="CJ6" s="9">
        <f>+(CH6-CH7)/(CI6-CI7)</f>
        <v>-12.499999999999998</v>
      </c>
      <c r="CK6" s="9">
        <f>+CH6-CJ6*CI6</f>
        <v>2.25</v>
      </c>
      <c r="CL6" s="76"/>
      <c r="CM6" s="147"/>
      <c r="CN6" s="20">
        <v>4</v>
      </c>
      <c r="CO6" s="21">
        <v>4</v>
      </c>
      <c r="CP6" s="7"/>
      <c r="CQ6" s="8">
        <v>1.25</v>
      </c>
      <c r="CR6" s="141"/>
      <c r="CS6" s="73"/>
      <c r="CT6" s="113"/>
      <c r="CU6" s="9"/>
      <c r="CV6" s="9"/>
      <c r="CW6" s="9"/>
      <c r="CX6" s="9"/>
      <c r="CY6" s="10"/>
      <c r="CZ6" s="10"/>
      <c r="DA6" s="11">
        <v>1.25</v>
      </c>
      <c r="DB6" s="9">
        <f t="shared" si="4"/>
        <v>4</v>
      </c>
      <c r="DC6" s="9">
        <f>+(DA6-DA7)/(DB6-DB7)</f>
        <v>0.25</v>
      </c>
      <c r="DD6" s="9">
        <f>+DA6-DC6*DB6</f>
        <v>0.25</v>
      </c>
      <c r="DE6" s="153"/>
      <c r="DF6" s="150"/>
      <c r="DG6" s="138"/>
    </row>
    <row r="7" spans="1:111" ht="27.9" customHeight="1">
      <c r="A7" s="156"/>
      <c r="B7" s="158"/>
      <c r="C7" s="166"/>
      <c r="D7" s="160"/>
      <c r="E7" s="160"/>
      <c r="F7" s="160"/>
      <c r="G7" s="160"/>
      <c r="H7" s="163"/>
      <c r="I7" s="81"/>
      <c r="J7" s="101"/>
      <c r="K7" s="98"/>
      <c r="L7" s="90"/>
      <c r="M7" s="87"/>
      <c r="N7" s="93"/>
      <c r="O7" s="84"/>
      <c r="P7" s="20">
        <v>3</v>
      </c>
      <c r="Q7" s="54">
        <v>0.44500000000000001</v>
      </c>
      <c r="R7" s="7"/>
      <c r="S7" s="12">
        <v>1</v>
      </c>
      <c r="T7" s="125"/>
      <c r="U7" s="73"/>
      <c r="V7" s="113"/>
      <c r="W7" s="11">
        <f>O5*M5</f>
        <v>0.03</v>
      </c>
      <c r="X7" s="9" t="str">
        <f>IF(Q8&lt;Q7,"A","B")</f>
        <v>A</v>
      </c>
      <c r="Y7" s="9">
        <f>+IF(T5&lt;Q9,1,IF(T5&lt;Q8,(T5-Q9)/(Q8-Q9)+P9,IF(T5&lt;Q7,(T5-Q8)/(Q7-Q8)+P8,IF(T5&lt;Q6,(T5-Q7)/(Q6-Q7)+P7,IF(T5&lt;Q5,(T5-Q6)/(Q5-Q6)+P6,5)))))</f>
        <v>1</v>
      </c>
      <c r="Z7" s="9">
        <f>+IF(T5&gt;Q9,1,IF(T5&gt;Q8,(T5-Q9)/(Q8-Q9)+P9,IF(T5&gt;Q7,(T5-Q8)/(Q7-Q8)+P8,IF(T5&gt;Q6,(T5-Q7)/(Q6-Q7)+P7,IF(T5&gt;Q5,(T5-Q6)/(Q5-Q6)+P6,5)))))</f>
        <v>5</v>
      </c>
      <c r="AA7" s="10">
        <f>+IF(T5&lt;Q9,0,IF(T5&lt;=Q8,W7*(T5*AE8+AF8),IF(T5&lt;=Q7,W7*(T5*AE7+AF7),IF(T5&lt;=Q6,W7*(T5*AE6+AF6),IF(T5&lt;=Q5,W7*(T5*AE5+AF5),S5*W7)))))</f>
        <v>0</v>
      </c>
      <c r="AB7" s="10">
        <f>+IF(T5&gt;Q9,0,IF(T5&gt;=Q8,W7*(T5*AE8+AF8),IF(T5&gt;=Q7,W7*(T5*AE7+AF7),IF(T5&gt;=Q6,W7*(T5*AE6+AF6),IF(T5&gt;=Q5,W7*(T5*AE5+AF5),S5*W7)))))</f>
        <v>4.4999999999999998E-2</v>
      </c>
      <c r="AC7" s="11">
        <v>1</v>
      </c>
      <c r="AD7" s="9">
        <f t="shared" si="0"/>
        <v>0.44500000000000001</v>
      </c>
      <c r="AE7" s="9">
        <f>+(AC7-AC8)/(AD7-AD8)</f>
        <v>99.999999999999915</v>
      </c>
      <c r="AF7" s="9">
        <f>+AC7-AE7*AD7</f>
        <v>-43.499999999999964</v>
      </c>
      <c r="AG7" s="118"/>
      <c r="AH7" s="84"/>
      <c r="AI7" s="20">
        <v>3</v>
      </c>
      <c r="AJ7" s="19">
        <v>3</v>
      </c>
      <c r="AK7" s="7"/>
      <c r="AL7" s="12">
        <v>1</v>
      </c>
      <c r="AM7" s="121"/>
      <c r="AN7" s="73"/>
      <c r="AO7" s="113"/>
      <c r="AP7" s="11">
        <f>AH5*M5</f>
        <v>1.4999999999999999E-2</v>
      </c>
      <c r="AQ7" s="9" t="str">
        <f>IF(AJ8&lt;AJ7,"A","B")</f>
        <v>A</v>
      </c>
      <c r="AR7" s="9">
        <f>+IF(AM5&lt;AJ9,1,IF(AM5&lt;AJ8,(AM5-AJ9)/(AJ8-AJ9)+AI9,IF(AM5&lt;AJ7,(AM5-AJ8)/(AJ7-AJ8)+AI8,IF(AM5&lt;AJ6,(AM5-AJ7)/(AJ6-AJ7)+AI7,IF(AM5&lt;AJ5,(AM5-AJ6)/(AJ5-AJ6)+AI6,5)))))</f>
        <v>1</v>
      </c>
      <c r="AS7" s="9">
        <f>+IF(AM5&gt;AJ9,1,IF(AM5&gt;AJ8,(AM5-AJ9)/(AJ8-AJ9)+AI9,IF(AM5&gt;AJ7,(AM5-AJ8)/(AJ7-AJ8)+AI8,IF(AM5&gt;AJ6,(AM5-AJ7)/(AJ6-AJ7)+AI7,IF(AM5&gt;AJ5,(AM5-AJ6)/(AJ5-AJ6)+AI6,5)))))</f>
        <v>5</v>
      </c>
      <c r="AT7" s="10">
        <f>+IF(AM5&lt;AJ9,0,IF(AM5&lt;=AJ8,AP7*(AM5*AX8+AY8),IF(AM5&lt;=AJ7,AP7*(AM5*AX7+AY7),IF(AM5&lt;=AJ6,AP7*(AM5*AX6+AY6),IF(AM5&lt;=AJ5,AP7*(AM5*AX5+AY5),AL5*AP7)))))</f>
        <v>0</v>
      </c>
      <c r="AU7" s="10">
        <f>+IF(AM5&gt;AJ9,0,IF(AM5&gt;=AJ8,AP7*(AM5*AX8+AY8),IF(AM5&gt;=AJ7,AP7*(AM5*AX7+AY7),IF(AM5&gt;=AJ6,AP7*(AM5*AX6+AY6),IF(AM5&gt;=AJ5,AP7*(AM5*AX5+AY5),AL5*AP7)))))</f>
        <v>2.2499999999999999E-2</v>
      </c>
      <c r="AV7" s="11">
        <v>1</v>
      </c>
      <c r="AW7" s="9">
        <f t="shared" si="1"/>
        <v>3</v>
      </c>
      <c r="AX7" s="9">
        <f>+(AV7-AV8)/(AW7-AW8)</f>
        <v>0.5</v>
      </c>
      <c r="AY7" s="9">
        <f>+AV7-AX7*AW7</f>
        <v>-0.5</v>
      </c>
      <c r="AZ7" s="118"/>
      <c r="BA7" s="84"/>
      <c r="BB7" s="20">
        <v>3</v>
      </c>
      <c r="BC7" s="54">
        <v>0.15</v>
      </c>
      <c r="BD7" s="7"/>
      <c r="BE7" s="12">
        <v>1</v>
      </c>
      <c r="BF7" s="116"/>
      <c r="BG7" s="73"/>
      <c r="BH7" s="113"/>
      <c r="BI7" s="11">
        <f>BA5*M5</f>
        <v>2.2499999999999999E-2</v>
      </c>
      <c r="BJ7" s="9" t="str">
        <f>IF(BC8&lt;BC7,"A","B")</f>
        <v>B</v>
      </c>
      <c r="BK7" s="9">
        <f>+IF(BF5&lt;BC9,1,IF(BF5&lt;BC8,(BF5-BC9)/(BC8-BC9)+BB9,IF(BF5&lt;BC7,(BF5-BC8)/(BC7-BC8)+BB8,IF(BF5&lt;BC6,(BF5-BC7)/(BC6-BC7)+BB7,IF(BF5&lt;BC5,(BF5-BC6)/(BC5-BC6)+BB6,5)))))</f>
        <v>1</v>
      </c>
      <c r="BL7" s="9">
        <f>+IF(BF5&gt;BC9,1,IF(BF5&gt;BC8,(BF5-BC9)/(BC8-BC9)+BB9,IF(BF5&gt;BC7,(BF5-BC8)/(BC7-BC8)+BB8,IF(BF5&gt;BC6,(BF5-BC7)/(BC6-BC7)+BB7,IF(BF5&gt;BC5,(BF5-BC6)/(BC5-BC6)+BB6,5)))))</f>
        <v>5</v>
      </c>
      <c r="BM7" s="10">
        <f>+IF(BF5&lt;BC9,0,IF(BF5&lt;=BC8,BI7*(BF5*BQ8+BR8),IF(BF5&lt;=BC7,BI7*(BF5*BQ7+BR7),IF(BF5&lt;=BC6,BI7*(BF5*BQ6+BR6),IF(BF5&lt;=BC5,BI7*(BF5*BQ5+BR5),BE5*BI7)))))</f>
        <v>0</v>
      </c>
      <c r="BN7" s="10">
        <f>+IF(BF5&gt;BC9,0,IF(BF5&gt;=BC8,BI7*(BF5*BQ8+BR8),IF(BF5&gt;=BC7,BI7*(BF5*BQ7+BR7),IF(BF5&gt;=BC6,BI7*(BF5*BQ6+BR6),IF(BF5&gt;=BC5,BI7*(BF5*BQ5+BR5),BE5*BI7)))))</f>
        <v>3.3750000000000002E-2</v>
      </c>
      <c r="BO7" s="11">
        <v>1</v>
      </c>
      <c r="BP7" s="9">
        <f t="shared" si="2"/>
        <v>0.15</v>
      </c>
      <c r="BQ7" s="9">
        <f>+(BO7-BO8)/(BP7-BP8)</f>
        <v>-9.9999999999999964</v>
      </c>
      <c r="BR7" s="9">
        <f>+BO7-BQ7*BP7</f>
        <v>2.4999999999999991</v>
      </c>
      <c r="BS7" s="110"/>
      <c r="BT7" s="84"/>
      <c r="BU7" s="20">
        <v>3</v>
      </c>
      <c r="BV7" s="54">
        <v>0.1</v>
      </c>
      <c r="BW7" s="7"/>
      <c r="BX7" s="12">
        <v>1</v>
      </c>
      <c r="BY7" s="144"/>
      <c r="BZ7" s="73"/>
      <c r="CA7" s="113"/>
      <c r="CB7" s="11">
        <f>BT5*M5</f>
        <v>2.2499999999999999E-2</v>
      </c>
      <c r="CC7" s="9" t="str">
        <f>IF(BV8&lt;BV7,"A","B")</f>
        <v>B</v>
      </c>
      <c r="CD7" s="9">
        <f>+IF(BY5&lt;BV9,1,IF(BY5&lt;BV8,(BY5-BV9)/(BV8-BV9)+BU9,IF(BY5&lt;BV7,(BY5-BV8)/(BV7-BV8)+BU8,IF(BY5&lt;BV6,(BY5-BV7)/(BV6-BV7)+BU7,IF(BY5&lt;BV5,(BY5-BV6)/(BV5-BV6)+BU6,5)))))</f>
        <v>1</v>
      </c>
      <c r="CE7" s="9">
        <f>+IF(BY5&gt;BV9,1,IF(BY5&gt;BV8,(BY5-BV9)/(BV8-BV9)+BU9,IF(BY5&gt;BV7,(BY5-BV8)/(BV7-BV8)+BU8,IF(BY5&gt;BV6,(BY5-BV7)/(BV6-BV7)+BU7,IF(BY5&gt;BV5,(BY5-BV6)/(BV5-BV6)+BU6,5)))))</f>
        <v>5</v>
      </c>
      <c r="CF7" s="10">
        <f>+IF(BY5&lt;BV9,0,IF(BY5&lt;=BV8,CB7*(BY5*CJ8+CK8),IF(BY5&lt;=BV7,CB7*(BY5*CJ7+CK7),IF(BY5&lt;=BV6,CB7*(BY5*CJ6+CK6),IF(BY5&lt;=BV5,CB7*(BY5*CJ5+CK5),BX5*CB7)))))</f>
        <v>0</v>
      </c>
      <c r="CG7" s="10">
        <f>+IF(BY5&gt;BV9,0,IF(BY5&gt;=BV8,CB7*(BY5*CJ8+CK8),IF(BY5&gt;=BV7,CB7*(BY5*CJ7+CK7),IF(BY5&gt;=BV6,CB7*(BY5*CJ6+CK6),IF(BY5&gt;=BV5,CB7*(BY5*CJ5+CK5),BX5*CB7)))))</f>
        <v>3.3750000000000002E-2</v>
      </c>
      <c r="CH7" s="11">
        <v>1</v>
      </c>
      <c r="CI7" s="9">
        <f t="shared" si="3"/>
        <v>0.1</v>
      </c>
      <c r="CJ7" s="9">
        <f>+(CH7-CH8)/(CI7-CI8)</f>
        <v>-50.000000000000028</v>
      </c>
      <c r="CK7" s="9">
        <f>+CH7-CJ7*CI7</f>
        <v>6.0000000000000036</v>
      </c>
      <c r="CL7" s="76"/>
      <c r="CM7" s="147"/>
      <c r="CN7" s="20">
        <v>3</v>
      </c>
      <c r="CO7" s="21">
        <v>3</v>
      </c>
      <c r="CP7" s="7"/>
      <c r="CQ7" s="12">
        <v>1</v>
      </c>
      <c r="CR7" s="141"/>
      <c r="CS7" s="73"/>
      <c r="CT7" s="113"/>
      <c r="CU7" s="11">
        <f>CM5*M5</f>
        <v>0.06</v>
      </c>
      <c r="CV7" s="9" t="str">
        <f>IF(CO8&lt;CO7,"A","B")</f>
        <v>A</v>
      </c>
      <c r="CW7" s="9">
        <f>+IF(CR5&lt;CO9,1,IF(CR5&lt;CO8,(CR5-CO9)/(CO8-CO9)+CN9,IF(CR5&lt;CO7,(CR5-CO8)/(CO7-CO8)+CN8,IF(CR5&lt;CO6,(CR5-CO7)/(CO6-CO7)+CN7,IF(CR5&lt;CO5,(CR5-CO6)/(CO5-CO6)+CN6,5)))))</f>
        <v>1</v>
      </c>
      <c r="CX7" s="9">
        <f>+IF(CR5&gt;CO9,1,IF(CR5&gt;CO8,(CR5-CO9)/(CO8-CO9)+CN9,IF(CR5&gt;CO7,(CR5-CO8)/(CO7-CO8)+CN8,IF(CR5&gt;CO6,(CR5-CO7)/(CO6-CO7)+CN7,IF(CR5&gt;CO5,(CR5-CO6)/(CO5-CO6)+CN6,5)))))</f>
        <v>5</v>
      </c>
      <c r="CY7" s="10">
        <f>+IF(CR5&lt;CO9,0,IF(CR5&lt;=CO8,CU7*(CR5*DC8+DD8),IF(CR5&lt;=CO7,CU7*(CR5*DC7+DD7),IF(CR5&lt;=CO6,CU7*(CR5*DC6+DD6),IF(CR5&lt;=CO5,CU7*(CR5*DC5+DD5),CQ5*CU7)))))</f>
        <v>0</v>
      </c>
      <c r="CZ7" s="10">
        <f>+IF(CR5&gt;CO9,0,IF(CR5&gt;=CO8,CU7*(CR5*DC8+DD8),IF(CR5&gt;=CO7,CU7*(CR5*DC7+DD7),IF(CR5&gt;=CO6,CU7*(CR5*DC6+DD6),IF(CR5&gt;=CO5,CU7*(CR5*DC5+DD5),CQ5*CU7)))))</f>
        <v>0.09</v>
      </c>
      <c r="DA7" s="11">
        <v>1</v>
      </c>
      <c r="DB7" s="9">
        <f t="shared" si="4"/>
        <v>3</v>
      </c>
      <c r="DC7" s="9">
        <f>+(DA7-DA8)/(DB7-DB8)</f>
        <v>0.5</v>
      </c>
      <c r="DD7" s="9">
        <f>+DA7-DC7*DB7</f>
        <v>-0.5</v>
      </c>
      <c r="DE7" s="153"/>
      <c r="DF7" s="150"/>
      <c r="DG7" s="138"/>
    </row>
    <row r="8" spans="1:111" ht="27.9" customHeight="1">
      <c r="A8" s="156"/>
      <c r="B8" s="158"/>
      <c r="C8" s="166"/>
      <c r="D8" s="160"/>
      <c r="E8" s="160"/>
      <c r="F8" s="160"/>
      <c r="G8" s="160"/>
      <c r="H8" s="163"/>
      <c r="I8" s="81"/>
      <c r="J8" s="101"/>
      <c r="K8" s="98"/>
      <c r="L8" s="90"/>
      <c r="M8" s="87"/>
      <c r="N8" s="93"/>
      <c r="O8" s="84"/>
      <c r="P8" s="20">
        <v>2</v>
      </c>
      <c r="Q8" s="54">
        <v>0.44</v>
      </c>
      <c r="R8" s="7"/>
      <c r="S8" s="8">
        <v>0.5</v>
      </c>
      <c r="T8" s="125"/>
      <c r="U8" s="73"/>
      <c r="V8" s="113"/>
      <c r="W8" s="9"/>
      <c r="X8" s="9"/>
      <c r="Y8" s="9"/>
      <c r="Z8" s="9"/>
      <c r="AA8" s="10"/>
      <c r="AB8" s="10"/>
      <c r="AC8" s="11">
        <v>0.5</v>
      </c>
      <c r="AD8" s="9">
        <f t="shared" si="0"/>
        <v>0.44</v>
      </c>
      <c r="AE8" s="9">
        <f>+(AC8-AC9)/(AD8-AD9)</f>
        <v>99.999999999999915</v>
      </c>
      <c r="AF8" s="9">
        <f>+AC8-AE8*AD8</f>
        <v>-43.499999999999964</v>
      </c>
      <c r="AG8" s="118"/>
      <c r="AH8" s="84"/>
      <c r="AI8" s="20">
        <v>2</v>
      </c>
      <c r="AJ8" s="19">
        <v>2</v>
      </c>
      <c r="AK8" s="7"/>
      <c r="AL8" s="8">
        <v>0.5</v>
      </c>
      <c r="AM8" s="121"/>
      <c r="AN8" s="73"/>
      <c r="AO8" s="113"/>
      <c r="AP8" s="9"/>
      <c r="AQ8" s="9"/>
      <c r="AR8" s="9"/>
      <c r="AS8" s="9"/>
      <c r="AT8" s="10"/>
      <c r="AU8" s="10"/>
      <c r="AV8" s="11">
        <v>0.5</v>
      </c>
      <c r="AW8" s="9">
        <f t="shared" si="1"/>
        <v>2</v>
      </c>
      <c r="AX8" s="9">
        <f>+(AV8-AV9)/(AW8-AW9)</f>
        <v>0.5</v>
      </c>
      <c r="AY8" s="9">
        <f>+AV8-AX8*AW8</f>
        <v>-0.5</v>
      </c>
      <c r="AZ8" s="118"/>
      <c r="BA8" s="84"/>
      <c r="BB8" s="20">
        <v>2</v>
      </c>
      <c r="BC8" s="54">
        <v>0.2</v>
      </c>
      <c r="BD8" s="7"/>
      <c r="BE8" s="8">
        <v>0.5</v>
      </c>
      <c r="BF8" s="116"/>
      <c r="BG8" s="73"/>
      <c r="BH8" s="113"/>
      <c r="BI8" s="9"/>
      <c r="BJ8" s="9"/>
      <c r="BK8" s="9"/>
      <c r="BL8" s="9"/>
      <c r="BM8" s="10"/>
      <c r="BN8" s="10"/>
      <c r="BO8" s="11">
        <v>0.5</v>
      </c>
      <c r="BP8" s="9">
        <f t="shared" si="2"/>
        <v>0.2</v>
      </c>
      <c r="BQ8" s="9">
        <f>+(BO8-BO9)/(BP8-BP9)</f>
        <v>-10.000000000000002</v>
      </c>
      <c r="BR8" s="9">
        <f>+BO8-BQ8*BP8</f>
        <v>2.5000000000000004</v>
      </c>
      <c r="BS8" s="110"/>
      <c r="BT8" s="84"/>
      <c r="BU8" s="20">
        <v>2</v>
      </c>
      <c r="BV8" s="54">
        <v>0.11</v>
      </c>
      <c r="BW8" s="7"/>
      <c r="BX8" s="8">
        <v>0.5</v>
      </c>
      <c r="BY8" s="144"/>
      <c r="BZ8" s="73"/>
      <c r="CA8" s="113"/>
      <c r="CB8" s="9"/>
      <c r="CC8" s="9"/>
      <c r="CD8" s="9"/>
      <c r="CE8" s="9"/>
      <c r="CF8" s="10"/>
      <c r="CG8" s="10"/>
      <c r="CH8" s="11">
        <v>0.5</v>
      </c>
      <c r="CI8" s="9">
        <f t="shared" si="3"/>
        <v>0.11</v>
      </c>
      <c r="CJ8" s="9">
        <f>+(CH8-CH9)/(CI8-CI9)</f>
        <v>-50.000000000000028</v>
      </c>
      <c r="CK8" s="9">
        <f>+CH8-CJ8*CI8</f>
        <v>6.0000000000000036</v>
      </c>
      <c r="CL8" s="76"/>
      <c r="CM8" s="147"/>
      <c r="CN8" s="20">
        <v>2</v>
      </c>
      <c r="CO8" s="21">
        <v>2</v>
      </c>
      <c r="CP8" s="7"/>
      <c r="CQ8" s="8">
        <v>0.5</v>
      </c>
      <c r="CR8" s="141"/>
      <c r="CS8" s="73"/>
      <c r="CT8" s="113"/>
      <c r="CU8" s="9"/>
      <c r="CV8" s="9"/>
      <c r="CW8" s="9"/>
      <c r="CX8" s="9"/>
      <c r="CY8" s="10"/>
      <c r="CZ8" s="10"/>
      <c r="DA8" s="11">
        <v>0.5</v>
      </c>
      <c r="DB8" s="9">
        <f t="shared" si="4"/>
        <v>2</v>
      </c>
      <c r="DC8" s="9">
        <f>+(DA8-DA9)/(DB8-DB9)</f>
        <v>0.5</v>
      </c>
      <c r="DD8" s="9">
        <f>+DA8-DC8*DB8</f>
        <v>-0.5</v>
      </c>
      <c r="DE8" s="153"/>
      <c r="DF8" s="150"/>
      <c r="DG8" s="138"/>
    </row>
    <row r="9" spans="1:111" ht="27.9" customHeight="1">
      <c r="A9" s="157"/>
      <c r="B9" s="69"/>
      <c r="C9" s="167"/>
      <c r="D9" s="161"/>
      <c r="E9" s="161"/>
      <c r="F9" s="161"/>
      <c r="G9" s="161"/>
      <c r="H9" s="164"/>
      <c r="I9" s="82"/>
      <c r="J9" s="102"/>
      <c r="K9" s="99"/>
      <c r="L9" s="91"/>
      <c r="M9" s="88"/>
      <c r="N9" s="94"/>
      <c r="O9" s="85"/>
      <c r="P9" s="22">
        <v>1</v>
      </c>
      <c r="Q9" s="55">
        <v>0.435</v>
      </c>
      <c r="R9" s="13"/>
      <c r="S9" s="14">
        <v>0</v>
      </c>
      <c r="T9" s="126"/>
      <c r="U9" s="74"/>
      <c r="V9" s="114"/>
      <c r="W9" s="15"/>
      <c r="X9" s="15"/>
      <c r="Y9" s="15"/>
      <c r="Z9" s="15"/>
      <c r="AA9" s="16"/>
      <c r="AB9" s="16"/>
      <c r="AC9" s="17">
        <v>0</v>
      </c>
      <c r="AD9" s="15">
        <f t="shared" si="0"/>
        <v>0.435</v>
      </c>
      <c r="AE9" s="15"/>
      <c r="AF9" s="15"/>
      <c r="AG9" s="119"/>
      <c r="AH9" s="85"/>
      <c r="AI9" s="22">
        <v>1</v>
      </c>
      <c r="AJ9" s="19">
        <v>1</v>
      </c>
      <c r="AK9" s="13"/>
      <c r="AL9" s="14">
        <v>0</v>
      </c>
      <c r="AM9" s="122"/>
      <c r="AN9" s="74"/>
      <c r="AO9" s="114"/>
      <c r="AP9" s="15"/>
      <c r="AQ9" s="15"/>
      <c r="AR9" s="15"/>
      <c r="AS9" s="15"/>
      <c r="AT9" s="16"/>
      <c r="AU9" s="16"/>
      <c r="AV9" s="17">
        <v>0</v>
      </c>
      <c r="AW9" s="15">
        <f t="shared" si="1"/>
        <v>1</v>
      </c>
      <c r="AX9" s="15"/>
      <c r="AY9" s="15"/>
      <c r="AZ9" s="119"/>
      <c r="BA9" s="85"/>
      <c r="BB9" s="22">
        <v>1</v>
      </c>
      <c r="BC9" s="55">
        <v>0.25</v>
      </c>
      <c r="BD9" s="13"/>
      <c r="BE9" s="14">
        <v>0</v>
      </c>
      <c r="BF9" s="117"/>
      <c r="BG9" s="74"/>
      <c r="BH9" s="114"/>
      <c r="BI9" s="15"/>
      <c r="BJ9" s="15"/>
      <c r="BK9" s="15"/>
      <c r="BL9" s="15"/>
      <c r="BM9" s="16"/>
      <c r="BN9" s="16"/>
      <c r="BO9" s="17">
        <v>0</v>
      </c>
      <c r="BP9" s="15">
        <f t="shared" si="2"/>
        <v>0.25</v>
      </c>
      <c r="BQ9" s="15"/>
      <c r="BR9" s="15"/>
      <c r="BS9" s="111"/>
      <c r="BT9" s="85"/>
      <c r="BU9" s="22">
        <v>1</v>
      </c>
      <c r="BV9" s="55">
        <v>0.12</v>
      </c>
      <c r="BW9" s="13"/>
      <c r="BX9" s="14">
        <v>0</v>
      </c>
      <c r="BY9" s="145"/>
      <c r="BZ9" s="74"/>
      <c r="CA9" s="114"/>
      <c r="CB9" s="15"/>
      <c r="CC9" s="15"/>
      <c r="CD9" s="15"/>
      <c r="CE9" s="15"/>
      <c r="CF9" s="16"/>
      <c r="CG9" s="16"/>
      <c r="CH9" s="17">
        <v>0</v>
      </c>
      <c r="CI9" s="15">
        <f t="shared" si="3"/>
        <v>0.12</v>
      </c>
      <c r="CJ9" s="15"/>
      <c r="CK9" s="15"/>
      <c r="CL9" s="77"/>
      <c r="CM9" s="148"/>
      <c r="CN9" s="22">
        <v>1</v>
      </c>
      <c r="CO9" s="23">
        <v>1</v>
      </c>
      <c r="CP9" s="13"/>
      <c r="CQ9" s="14">
        <v>0</v>
      </c>
      <c r="CR9" s="142"/>
      <c r="CS9" s="74"/>
      <c r="CT9" s="114"/>
      <c r="CU9" s="15"/>
      <c r="CV9" s="15"/>
      <c r="CW9" s="15"/>
      <c r="CX9" s="15"/>
      <c r="CY9" s="16"/>
      <c r="CZ9" s="16"/>
      <c r="DA9" s="17">
        <v>0</v>
      </c>
      <c r="DB9" s="15">
        <f t="shared" si="4"/>
        <v>1</v>
      </c>
      <c r="DC9" s="15"/>
      <c r="DD9" s="15"/>
      <c r="DE9" s="154"/>
      <c r="DF9" s="151"/>
      <c r="DG9" s="139"/>
    </row>
  </sheetData>
  <sheetProtection formatCells="0" formatColumns="0" formatRows="0" sort="0" autoFilter="0" pivotTables="0"/>
  <autoFilter ref="A4:DH9" xr:uid="{00000000-0001-0000-0100-000000000000}">
    <filterColumn colId="15" showButton="0"/>
    <filterColumn colId="34" showButton="0"/>
    <filterColumn colId="53" showButton="0"/>
    <filterColumn colId="72" showButton="0"/>
    <filterColumn colId="91" showButton="0"/>
  </autoFilter>
  <customSheetViews>
    <customSheetView guid="{010DFA8E-A529-484B-92DE-5FB0D64C2A46}" scale="55" showPageBreaks="1" printArea="1" filter="1" showAutoFilter="1" hiddenColumns="1">
      <pane xSplit="9" ySplit="4" topLeftCell="BF5" activePane="bottomRight" state="frozen"/>
      <selection pane="bottomRight" activeCell="D1" sqref="C1:D65536"/>
      <pageMargins left="0" right="0" top="0" bottom="0" header="0.23622047244094491" footer="0.19685039370078741"/>
      <pageSetup paperSize="8" fitToHeight="20" orientation="landscape" r:id="rId1"/>
      <headerFooter alignWithMargins="0">
        <oddFooter>&amp;L&amp;"Arial,常规"&amp;10Dept.Mgr.:________________________________                                                                   Functional Head:__________________________&amp;C&amp;"Arial,常规"&amp;10Page&amp;P/&amp;N</oddFooter>
      </headerFooter>
      <autoFilter ref="B1:DG1" xr:uid="{F4121C74-BA2A-4E44-81D6-4EF110F4582A}">
        <filterColumn colId="11">
          <filters>
            <filter val="Peter Chen"/>
          </filters>
        </filterColumn>
      </autoFilter>
    </customSheetView>
    <customSheetView guid="{9DF38352-418C-4FDB-B9EF-0E99D7FF1C84}" scale="70" showPageBreaks="1" printArea="1" filter="1" showAutoFilter="1" hiddenColumns="1">
      <pane xSplit="9" ySplit="4" topLeftCell="J5" activePane="bottomRight" state="frozen"/>
      <selection pane="bottomRight" activeCell="U360" sqref="U360:U364"/>
      <pageMargins left="0" right="0" top="0" bottom="0" header="0.23622047244094491" footer="0.19685039370078741"/>
      <pageSetup paperSize="8" fitToHeight="20" orientation="landscape" r:id="rId2"/>
      <headerFooter alignWithMargins="0">
        <oddFooter>&amp;L&amp;"Arial,常规"&amp;10Dept.Mgr.:________________________________                                                                   Functional Head:__________________________&amp;C&amp;"Arial,常规"&amp;10Page&amp;P/&amp;N</oddFooter>
      </headerFooter>
      <autoFilter ref="B1:DG1" xr:uid="{D6686C88-985A-4C02-B7D9-323FA639D4A2}">
        <filterColumn colId="11">
          <filters>
            <filter val="Zhang lijun"/>
          </filters>
        </filterColumn>
      </autoFilter>
    </customSheetView>
  </customSheetViews>
  <mergeCells count="82">
    <mergeCell ref="A5:A9"/>
    <mergeCell ref="B5:B9"/>
    <mergeCell ref="E5:E9"/>
    <mergeCell ref="F5:F9"/>
    <mergeCell ref="H5:H9"/>
    <mergeCell ref="D5:D9"/>
    <mergeCell ref="C5:C9"/>
    <mergeCell ref="G5:G9"/>
    <mergeCell ref="DG5:DG9"/>
    <mergeCell ref="CT5:CT9"/>
    <mergeCell ref="BG5:BG9"/>
    <mergeCell ref="CR5:CR9"/>
    <mergeCell ref="BY5:BY9"/>
    <mergeCell ref="CM5:CM9"/>
    <mergeCell ref="CA5:CA9"/>
    <mergeCell ref="DF5:DF9"/>
    <mergeCell ref="DE5:DE9"/>
    <mergeCell ref="DG3:DG4"/>
    <mergeCell ref="AR3:AS3"/>
    <mergeCell ref="AZ3:BH3"/>
    <mergeCell ref="Y3:Z3"/>
    <mergeCell ref="AG3:AO3"/>
    <mergeCell ref="DF3:DF4"/>
    <mergeCell ref="CY3:CZ3"/>
    <mergeCell ref="BM3:BN3"/>
    <mergeCell ref="CF3:CG3"/>
    <mergeCell ref="CN4:CO4"/>
    <mergeCell ref="CL3:CT3"/>
    <mergeCell ref="BU4:BV4"/>
    <mergeCell ref="BB4:BC4"/>
    <mergeCell ref="BK3:BL3"/>
    <mergeCell ref="CW3:CX3"/>
    <mergeCell ref="DA3:DD3"/>
    <mergeCell ref="AO5:AO9"/>
    <mergeCell ref="P4:Q4"/>
    <mergeCell ref="AA3:AB3"/>
    <mergeCell ref="AG5:AG9"/>
    <mergeCell ref="V5:V9"/>
    <mergeCell ref="U5:U9"/>
    <mergeCell ref="T5:T9"/>
    <mergeCell ref="DE3:DE4"/>
    <mergeCell ref="AI4:AJ4"/>
    <mergeCell ref="AT3:AU3"/>
    <mergeCell ref="AV3:AY3"/>
    <mergeCell ref="N3:V3"/>
    <mergeCell ref="J5:J9"/>
    <mergeCell ref="M3:M4"/>
    <mergeCell ref="AC3:AF3"/>
    <mergeCell ref="BO3:BR3"/>
    <mergeCell ref="BS3:CA3"/>
    <mergeCell ref="J3:J4"/>
    <mergeCell ref="L3:L4"/>
    <mergeCell ref="AH5:AH9"/>
    <mergeCell ref="BA5:BA9"/>
    <mergeCell ref="BS5:BS9"/>
    <mergeCell ref="BH5:BH9"/>
    <mergeCell ref="BT5:BT9"/>
    <mergeCell ref="BF5:BF9"/>
    <mergeCell ref="AZ5:AZ9"/>
    <mergeCell ref="AM5:AM9"/>
    <mergeCell ref="AN5:AN9"/>
    <mergeCell ref="M5:M9"/>
    <mergeCell ref="L5:L9"/>
    <mergeCell ref="N5:N9"/>
    <mergeCell ref="K3:K4"/>
    <mergeCell ref="K5:K9"/>
    <mergeCell ref="B3:B4"/>
    <mergeCell ref="G3:G4"/>
    <mergeCell ref="I3:I4"/>
    <mergeCell ref="A3:A4"/>
    <mergeCell ref="CS5:CS9"/>
    <mergeCell ref="CL5:CL9"/>
    <mergeCell ref="BZ5:BZ9"/>
    <mergeCell ref="CD3:CE3"/>
    <mergeCell ref="CH3:CK3"/>
    <mergeCell ref="H3:H4"/>
    <mergeCell ref="E3:E4"/>
    <mergeCell ref="D3:D4"/>
    <mergeCell ref="C3:C4"/>
    <mergeCell ref="F3:F4"/>
    <mergeCell ref="I5:I9"/>
    <mergeCell ref="O5:O9"/>
  </mergeCells>
  <phoneticPr fontId="9" type="noConversion"/>
  <conditionalFormatting sqref="C1:C57387">
    <cfRule type="duplicateValues" dxfId="1" priority="43954" stopIfTrue="1"/>
  </conditionalFormatting>
  <conditionalFormatting sqref="DG1:DG1048576">
    <cfRule type="cellIs" dxfId="0" priority="1" operator="equal">
      <formula>1</formula>
    </cfRule>
  </conditionalFormatting>
  <pageMargins left="0" right="0" top="0" bottom="0" header="0.23622047244094491" footer="0.19685039370078741"/>
  <pageSetup paperSize="8" fitToHeight="20" orientation="landscape" r:id="rId3"/>
  <headerFooter alignWithMargins="0">
    <oddFooter>&amp;L&amp;"Arial,常规"&amp;10Dept.Mgr.:________________________________                                                                   Functional Head:__________________________&amp;C&amp;"Arial,常规"&amp;10Page&amp;P/&amp;N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AACCF02F0EF043BB5CDDEB31645195" ma:contentTypeVersion="11" ma:contentTypeDescription="新建文档。" ma:contentTypeScope="" ma:versionID="ef045d66bc6913fbb76114c6080fd172">
  <xsd:schema xmlns:xsd="http://www.w3.org/2001/XMLSchema" xmlns:xs="http://www.w3.org/2001/XMLSchema" xmlns:p="http://schemas.microsoft.com/office/2006/metadata/properties" xmlns:ns3="0f418866-5cab-497e-b29c-ada222390d57" targetNamespace="http://schemas.microsoft.com/office/2006/metadata/properties" ma:root="true" ma:fieldsID="118edb750bb217975f7e918352eab60d" ns3:_="">
    <xsd:import namespace="0f418866-5cab-497e-b29c-ada222390d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18866-5cab-497e-b29c-ada222390d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908A95-847B-4C60-A69D-F4572B46A4EC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f418866-5cab-497e-b29c-ada222390d5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110BDF3-37E8-4F00-B4B0-8795D0708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0F6433-8373-4837-AA59-33DD1211B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18866-5cab-497e-b29c-ada222390d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Luxottica Tristar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KarolGe</dc:creator>
  <cp:lastModifiedBy>Andrew Lyu</cp:lastModifiedBy>
  <cp:lastPrinted>2025-01-20T11:27:07Z</cp:lastPrinted>
  <dcterms:created xsi:type="dcterms:W3CDTF">2012-01-02T01:22:01Z</dcterms:created>
  <dcterms:modified xsi:type="dcterms:W3CDTF">2025-10-25T08:04:58Z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2022-09-14T06:04:14Z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68c58fb8-9c52-4364-a4a1-61b19b92096f</vt:lpwstr>
  </property>
  <property fmtid="{D5CDD505-2E9C-101B-9397-08002B2CF9AE}" pid="8" name="MSIP_Label_2e9a4386-74b9-4603-ae20-950a659f9b6e_ContentBits">
    <vt:lpwstr>0</vt:lpwstr>
  </property>
  <property fmtid="{D5CDD505-2E9C-101B-9397-08002B2CF9AE}" pid="9" name="ContentTypeId">
    <vt:lpwstr>0x0101006DAACCF02F0EF043BB5CDDEB31645195</vt:lpwstr>
  </property>
</Properties>
</file>